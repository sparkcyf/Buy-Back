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输入" sheetId="1" r:id="rId1"/>
    <sheet name="计算（不要触碰）" sheetId="4" r:id="rId2"/>
    <sheet name="匹配并输出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3" l="1"/>
  <c r="W4" i="3"/>
  <c r="W5" i="3"/>
  <c r="W6" i="3"/>
  <c r="W7" i="3"/>
  <c r="W8" i="3"/>
  <c r="W9" i="3"/>
  <c r="W10" i="3"/>
  <c r="W11" i="3"/>
  <c r="W12" i="3"/>
  <c r="W13" i="3"/>
  <c r="W14" i="3"/>
  <c r="W15" i="3"/>
  <c r="W2" i="3"/>
  <c r="U2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W3" i="4" l="1"/>
  <c r="Y3" i="4" s="1"/>
  <c r="W4" i="4"/>
  <c r="Y4" i="4" s="1"/>
  <c r="V4" i="3" s="1"/>
  <c r="W5" i="4"/>
  <c r="Y5" i="4" s="1"/>
  <c r="V5" i="3" s="1"/>
  <c r="W7" i="4"/>
  <c r="Y7" i="4" s="1"/>
  <c r="W8" i="4"/>
  <c r="Y8" i="4" s="1"/>
  <c r="W9" i="4"/>
  <c r="Y9" i="4" s="1"/>
  <c r="V9" i="3" s="1"/>
  <c r="W10" i="4"/>
  <c r="Y10" i="4" s="1"/>
  <c r="W11" i="4"/>
  <c r="Y11" i="4" s="1"/>
  <c r="V11" i="3" s="1"/>
  <c r="X11" i="3" s="1"/>
  <c r="W12" i="4"/>
  <c r="Y12" i="4" s="1"/>
  <c r="W13" i="4"/>
  <c r="Y13" i="4" s="1"/>
  <c r="W14" i="4"/>
  <c r="Y14" i="4" s="1"/>
  <c r="V14" i="3" s="1"/>
  <c r="W15" i="4"/>
  <c r="Y15" i="4" s="1"/>
  <c r="V15" i="3" s="1"/>
  <c r="N4" i="3" l="1"/>
  <c r="X14" i="3"/>
  <c r="K4" i="3"/>
  <c r="X9" i="3"/>
  <c r="G3" i="3"/>
  <c r="X5" i="3"/>
  <c r="F5" i="3"/>
  <c r="X4" i="3"/>
  <c r="N5" i="3"/>
  <c r="X15" i="3"/>
  <c r="V12" i="3"/>
  <c r="V13" i="3"/>
  <c r="F4" i="3"/>
  <c r="G5" i="3"/>
  <c r="V7" i="3"/>
  <c r="V8" i="3"/>
  <c r="X8" i="3" s="1"/>
  <c r="K3" i="3"/>
  <c r="F2" i="3"/>
  <c r="G4" i="3"/>
  <c r="M5" i="3"/>
  <c r="M4" i="3"/>
  <c r="I2" i="3" l="1"/>
  <c r="X7" i="3"/>
  <c r="N3" i="3"/>
  <c r="X13" i="3"/>
  <c r="N2" i="3"/>
  <c r="X12" i="3"/>
  <c r="I4" i="3"/>
  <c r="J5" i="3"/>
  <c r="J2" i="3"/>
  <c r="W2" i="4" l="1"/>
  <c r="Y2" i="4" s="1"/>
  <c r="V3" i="3" l="1"/>
  <c r="X3" i="3" s="1"/>
  <c r="V2" i="3"/>
  <c r="E3" i="3" l="1"/>
  <c r="E2" i="3"/>
  <c r="E5" i="3"/>
  <c r="X2" i="3"/>
  <c r="D2" i="3"/>
  <c r="D4" i="3"/>
  <c r="C4" i="3" s="1"/>
  <c r="D3" i="3"/>
  <c r="D14" i="1" l="1"/>
  <c r="W6" i="4"/>
  <c r="Y6" i="4" s="1"/>
  <c r="V6" i="3" l="1"/>
  <c r="H3" i="3" s="1"/>
  <c r="V10" i="3"/>
  <c r="L5" i="3" s="1"/>
  <c r="C5" i="3" s="1"/>
  <c r="L3" i="3" l="1"/>
  <c r="C3" i="3" s="1"/>
  <c r="H2" i="3"/>
  <c r="C2" i="3" s="1"/>
  <c r="X6" i="3"/>
  <c r="D11" i="1"/>
  <c r="D15" i="1"/>
  <c r="X10" i="3"/>
  <c r="D10" i="1" l="1"/>
  <c r="D13" i="1"/>
  <c r="D9" i="1"/>
  <c r="D5" i="1"/>
  <c r="D2" i="1"/>
  <c r="D8" i="1"/>
  <c r="D7" i="1"/>
  <c r="F10" i="3"/>
  <c r="D6" i="1"/>
  <c r="D12" i="1"/>
  <c r="F14" i="3"/>
  <c r="D3" i="1"/>
  <c r="D4" i="1"/>
</calcChain>
</file>

<file path=xl/sharedStrings.xml><?xml version="1.0" encoding="utf-8"?>
<sst xmlns="http://schemas.openxmlformats.org/spreadsheetml/2006/main" count="62" uniqueCount="43">
  <si>
    <t>输入品类</t>
    <phoneticPr fontId="1" type="noConversion"/>
  </si>
  <si>
    <t>输入价格</t>
    <phoneticPr fontId="1" type="noConversion"/>
  </si>
  <si>
    <t>abc</t>
    <phoneticPr fontId="1" type="noConversion"/>
  </si>
  <si>
    <t>abd</t>
    <phoneticPr fontId="1" type="noConversion"/>
  </si>
  <si>
    <t>acd</t>
    <phoneticPr fontId="1" type="noConversion"/>
  </si>
  <si>
    <t>bcd</t>
    <phoneticPr fontId="1" type="noConversion"/>
  </si>
  <si>
    <t>ab</t>
    <phoneticPr fontId="1" type="noConversion"/>
  </si>
  <si>
    <t>bc</t>
    <phoneticPr fontId="1" type="noConversion"/>
  </si>
  <si>
    <t>cd</t>
    <phoneticPr fontId="1" type="noConversion"/>
  </si>
  <si>
    <t>ad</t>
    <phoneticPr fontId="1" type="noConversion"/>
  </si>
  <si>
    <t>ac</t>
    <phoneticPr fontId="1" type="noConversion"/>
  </si>
  <si>
    <t>bd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</si>
  <si>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</si>
  <si>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</si>
  <si>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</si>
  <si>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c</t>
    <phoneticPr fontId="1" type="noConversion"/>
  </si>
  <si>
    <t>现有品类</t>
    <phoneticPr fontId="1" type="noConversion"/>
  </si>
  <si>
    <t>数量</t>
    <phoneticPr fontId="1" type="noConversion"/>
  </si>
  <si>
    <t>实时数量</t>
    <phoneticPr fontId="1" type="noConversion"/>
  </si>
  <si>
    <t>total</t>
    <phoneticPr fontId="1" type="noConversion"/>
  </si>
  <si>
    <t>绝对位置(行)</t>
    <phoneticPr fontId="1" type="noConversion"/>
  </si>
  <si>
    <t>差额</t>
    <phoneticPr fontId="1" type="noConversion"/>
  </si>
  <si>
    <t>数量变动</t>
    <phoneticPr fontId="1" type="noConversion"/>
  </si>
  <si>
    <t>abc</t>
    <phoneticPr fontId="1" type="noConversion"/>
  </si>
  <si>
    <t>abd</t>
    <phoneticPr fontId="1" type="noConversion"/>
  </si>
  <si>
    <t>acd</t>
    <phoneticPr fontId="1" type="noConversion"/>
  </si>
  <si>
    <t>bcd</t>
    <phoneticPr fontId="1" type="noConversion"/>
  </si>
  <si>
    <t>ab</t>
    <phoneticPr fontId="1" type="noConversion"/>
  </si>
  <si>
    <t>ac</t>
    <phoneticPr fontId="1" type="noConversion"/>
  </si>
  <si>
    <t>ad</t>
    <phoneticPr fontId="1" type="noConversion"/>
  </si>
  <si>
    <t>bc</t>
    <phoneticPr fontId="1" type="noConversion"/>
  </si>
  <si>
    <t>bd</t>
    <phoneticPr fontId="1" type="noConversion"/>
  </si>
  <si>
    <t>cd</t>
    <phoneticPr fontId="1" type="noConversion"/>
  </si>
  <si>
    <t>a/b/c/d</t>
    <phoneticPr fontId="1" type="noConversion"/>
  </si>
  <si>
    <t>获益</t>
    <phoneticPr fontId="1" type="noConversion"/>
  </si>
  <si>
    <t>单价</t>
    <phoneticPr fontId="1" type="noConversion"/>
  </si>
  <si>
    <t>总价（卖掉单品）</t>
    <phoneticPr fontId="1" type="noConversion"/>
  </si>
  <si>
    <t>总价（不买单品）</t>
    <phoneticPr fontId="1" type="noConversion"/>
  </si>
  <si>
    <t>不要动蓝框外的东西！</t>
    <phoneticPr fontId="1" type="noConversion"/>
  </si>
  <si>
    <t>使用须知</t>
    <phoneticPr fontId="1" type="noConversion"/>
  </si>
  <si>
    <t>自行填入回购单价（暂不支持超过15个品种）</t>
    <phoneticPr fontId="1" type="noConversion"/>
  </si>
  <si>
    <t>警告:不要随意修改无底色的区域！</t>
    <phoneticPr fontId="1" type="noConversion"/>
  </si>
  <si>
    <t>请先点击清理表格来清除运算区域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</si>
</sst>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36"/>
      <color rgb="FFFF0000"/>
      <name val="微软雅黑"/>
      <family val="2"/>
      <charset val="134"/>
    </font>
    <font>
      <b/>
      <sz val="16"/>
      <color rgb="FFFF0000"/>
      <name val="微软雅黑"/>
      <family val="2"/>
      <charset val="134"/>
    </font>
    <font>
      <sz val="18"/>
      <color theme="1"/>
      <name val="微软雅黑"/>
      <family val="2"/>
      <charset val="134"/>
    </font>
    <font>
      <sz val="24"/>
      <color theme="1"/>
      <name val="微软雅黑"/>
      <family val="2"/>
      <charset val="134"/>
    </font>
    <font>
      <sz val="16"/>
      <color rgb="FFFF0000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4" borderId="0" xfId="0" applyFont="1" applyFill="1"/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6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6" borderId="0" xfId="0" applyFont="1" applyFill="1" applyAlignment="1"/>
    <xf numFmtId="0" fontId="3" fillId="6" borderId="0" xfId="0" applyFont="1" applyFill="1" applyAlignment="1">
      <alignment horizontal="center" wrapText="1"/>
    </xf>
    <xf numFmtId="0" fontId="8" fillId="7" borderId="0" xfId="0" applyFont="1" applyFill="1" applyAlignment="1">
      <alignment horizontal="center" vertical="center" wrapText="1"/>
    </xf>
    <xf numFmtId="0" fontId="2" fillId="6" borderId="1" xfId="0" applyFont="1" applyFill="1" applyBorder="1"/>
    <xf numFmtId="0" fontId="2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8</xdr:row>
          <xdr:rowOff>57150</xdr:rowOff>
        </xdr:from>
        <xdr:to>
          <xdr:col>7</xdr:col>
          <xdr:colOff>285750</xdr:colOff>
          <xdr:row>10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计算回购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8</xdr:row>
          <xdr:rowOff>47625</xdr:rowOff>
        </xdr:from>
        <xdr:to>
          <xdr:col>9</xdr:col>
          <xdr:colOff>533400</xdr:colOff>
          <xdr:row>10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清理表格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11</xdr:row>
          <xdr:rowOff>47625</xdr:rowOff>
        </xdr:from>
        <xdr:to>
          <xdr:col>13</xdr:col>
          <xdr:colOff>514350</xdr:colOff>
          <xdr:row>13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清理表格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5"/>
  <sheetViews>
    <sheetView tabSelected="1" workbookViewId="0">
      <selection activeCell="D10" sqref="D10"/>
    </sheetView>
  </sheetViews>
  <sheetFormatPr defaultRowHeight="16.5" x14ac:dyDescent="0.3"/>
  <cols>
    <col min="1" max="16384" width="9" style="1"/>
  </cols>
  <sheetData>
    <row r="1" spans="1:10" x14ac:dyDescent="0.3">
      <c r="A1" s="14"/>
      <c r="B1" s="14" t="s">
        <v>0</v>
      </c>
      <c r="C1" s="14" t="s">
        <v>1</v>
      </c>
      <c r="D1" s="14"/>
    </row>
    <row r="2" spans="1:10" x14ac:dyDescent="0.3">
      <c r="A2" s="14">
        <v>2</v>
      </c>
      <c r="B2" s="14" t="s">
        <v>2</v>
      </c>
      <c r="C2" s="14">
        <v>1150</v>
      </c>
      <c r="D2" s="14" t="e">
        <f>MIN(匹配并输出!C2,匹配并输出!C3,匹配并输出!C4)</f>
        <v>#N/A</v>
      </c>
      <c r="F2" s="9" t="s">
        <v>39</v>
      </c>
      <c r="G2" s="9"/>
      <c r="H2" s="9"/>
      <c r="I2" s="9"/>
      <c r="J2" s="9"/>
    </row>
    <row r="3" spans="1:10" x14ac:dyDescent="0.3">
      <c r="A3" s="14">
        <v>3</v>
      </c>
      <c r="B3" s="14" t="s">
        <v>3</v>
      </c>
      <c r="C3" s="14">
        <v>1200</v>
      </c>
      <c r="D3" s="14" t="e">
        <f>MIN(匹配并输出!C2,匹配并输出!C3,匹配并输出!C5)</f>
        <v>#N/A</v>
      </c>
      <c r="F3" s="9"/>
      <c r="G3" s="9"/>
      <c r="H3" s="9"/>
      <c r="I3" s="9"/>
      <c r="J3" s="9"/>
    </row>
    <row r="4" spans="1:10" ht="16.5" customHeight="1" x14ac:dyDescent="0.3">
      <c r="A4" s="14">
        <v>4</v>
      </c>
      <c r="B4" s="14" t="s">
        <v>4</v>
      </c>
      <c r="C4" s="14">
        <v>1120</v>
      </c>
      <c r="D4" s="14" t="e">
        <f>MIN(匹配并输出!C2,匹配并输出!C4,匹配并输出!C5)</f>
        <v>#N/A</v>
      </c>
      <c r="F4" s="12" t="s">
        <v>40</v>
      </c>
      <c r="G4" s="12"/>
      <c r="H4" s="12"/>
      <c r="I4" s="12"/>
      <c r="J4" s="12"/>
    </row>
    <row r="5" spans="1:10" ht="16.5" customHeight="1" x14ac:dyDescent="0.3">
      <c r="A5" s="14">
        <v>5</v>
      </c>
      <c r="B5" s="14" t="s">
        <v>5</v>
      </c>
      <c r="C5" s="14">
        <v>1000</v>
      </c>
      <c r="D5" s="14" t="e">
        <f>MIN(匹配并输出!C3,匹配并输出!C4,匹配并输出!C5)</f>
        <v>#N/A</v>
      </c>
      <c r="F5" s="12"/>
      <c r="G5" s="12"/>
      <c r="H5" s="12"/>
      <c r="I5" s="12"/>
      <c r="J5" s="12"/>
    </row>
    <row r="6" spans="1:10" ht="16.5" customHeight="1" x14ac:dyDescent="0.3">
      <c r="A6" s="14">
        <v>6</v>
      </c>
      <c r="B6" s="14" t="s">
        <v>6</v>
      </c>
      <c r="C6" s="14">
        <v>510</v>
      </c>
      <c r="D6" s="14" t="e">
        <f>MIN(匹配并输出!C2,匹配并输出!C3)</f>
        <v>#N/A</v>
      </c>
      <c r="F6" s="12"/>
      <c r="G6" s="12"/>
      <c r="H6" s="12"/>
      <c r="I6" s="12"/>
      <c r="J6" s="12"/>
    </row>
    <row r="7" spans="1:10" ht="16.5" customHeight="1" x14ac:dyDescent="0.3">
      <c r="A7" s="14">
        <v>7</v>
      </c>
      <c r="B7" s="14" t="s">
        <v>10</v>
      </c>
      <c r="C7" s="14">
        <v>530</v>
      </c>
      <c r="D7" s="14" t="e">
        <f>MIN(匹配并输出!C2,匹配并输出!C4)</f>
        <v>#N/A</v>
      </c>
      <c r="F7" s="16" t="s">
        <v>42</v>
      </c>
      <c r="G7" s="16"/>
      <c r="H7" s="16"/>
      <c r="I7" s="16"/>
      <c r="J7" s="16"/>
    </row>
    <row r="8" spans="1:10" ht="16.5" customHeight="1" x14ac:dyDescent="0.3">
      <c r="A8" s="14">
        <v>8</v>
      </c>
      <c r="B8" s="14" t="s">
        <v>9</v>
      </c>
      <c r="C8" s="14">
        <v>500</v>
      </c>
      <c r="D8" s="14" t="e">
        <f>MIN(匹配并输出!C2,匹配并输出!C5)</f>
        <v>#N/A</v>
      </c>
      <c r="F8" s="16"/>
      <c r="G8" s="16"/>
      <c r="H8" s="16"/>
      <c r="I8" s="16"/>
      <c r="J8" s="16"/>
    </row>
    <row r="9" spans="1:10" x14ac:dyDescent="0.3">
      <c r="A9" s="14">
        <v>9</v>
      </c>
      <c r="B9" s="14" t="s">
        <v>7</v>
      </c>
      <c r="C9" s="14">
        <v>520</v>
      </c>
      <c r="D9" s="14" t="e">
        <f>MIN(匹配并输出!C3,匹配并输出!C4)</f>
        <v>#N/A</v>
      </c>
      <c r="F9" s="10"/>
      <c r="G9" s="10"/>
      <c r="H9" s="11"/>
      <c r="I9" s="10"/>
      <c r="J9" s="10"/>
    </row>
    <row r="10" spans="1:10" x14ac:dyDescent="0.3">
      <c r="A10" s="14">
        <v>10</v>
      </c>
      <c r="B10" s="14" t="s">
        <v>11</v>
      </c>
      <c r="C10" s="14">
        <v>570</v>
      </c>
      <c r="D10" s="14" t="e">
        <f>MIN(匹配并输出!C3,匹配并输出!C5)</f>
        <v>#N/A</v>
      </c>
      <c r="F10" s="10"/>
      <c r="G10" s="10"/>
      <c r="H10" s="11"/>
      <c r="I10" s="10"/>
      <c r="J10" s="10"/>
    </row>
    <row r="11" spans="1:10" x14ac:dyDescent="0.3">
      <c r="A11" s="14">
        <v>11</v>
      </c>
      <c r="B11" s="14" t="s">
        <v>8</v>
      </c>
      <c r="C11" s="14">
        <v>550</v>
      </c>
      <c r="D11" s="14" t="e">
        <f>MIN(匹配并输出!C4,匹配并输出!C5)</f>
        <v>#N/A</v>
      </c>
      <c r="F11" s="11"/>
      <c r="G11" s="11"/>
      <c r="H11" s="11"/>
      <c r="I11" s="11"/>
      <c r="J11" s="11"/>
    </row>
    <row r="12" spans="1:10" x14ac:dyDescent="0.3">
      <c r="A12" s="14">
        <v>12</v>
      </c>
      <c r="B12" s="14" t="s">
        <v>12</v>
      </c>
      <c r="C12" s="14">
        <v>120</v>
      </c>
      <c r="D12" s="14" t="e">
        <f>MIN(匹配并输出!C2)</f>
        <v>#N/A</v>
      </c>
      <c r="F12" s="13" t="s">
        <v>41</v>
      </c>
      <c r="G12" s="13"/>
      <c r="H12" s="13"/>
      <c r="I12" s="13"/>
      <c r="J12" s="13"/>
    </row>
    <row r="13" spans="1:10" x14ac:dyDescent="0.3">
      <c r="A13" s="14">
        <v>13</v>
      </c>
      <c r="B13" s="14" t="s">
        <v>13</v>
      </c>
      <c r="C13" s="14">
        <v>130</v>
      </c>
      <c r="D13" s="14" t="e">
        <f>MIN(匹配并输出!C3)</f>
        <v>#N/A</v>
      </c>
      <c r="F13" s="13"/>
      <c r="G13" s="13"/>
      <c r="H13" s="13"/>
      <c r="I13" s="13"/>
      <c r="J13" s="13"/>
    </row>
    <row r="14" spans="1:10" x14ac:dyDescent="0.3">
      <c r="A14" s="14">
        <v>14</v>
      </c>
      <c r="B14" s="14" t="s">
        <v>15</v>
      </c>
      <c r="C14" s="14">
        <v>110</v>
      </c>
      <c r="D14" s="14" t="e">
        <f>MIN(匹配并输出!C4)</f>
        <v>#N/A</v>
      </c>
      <c r="F14" s="13"/>
      <c r="G14" s="13"/>
      <c r="H14" s="13"/>
      <c r="I14" s="13"/>
      <c r="J14" s="13"/>
    </row>
    <row r="15" spans="1:10" x14ac:dyDescent="0.3">
      <c r="A15" s="14">
        <v>15</v>
      </c>
      <c r="B15" s="14" t="s">
        <v>14</v>
      </c>
      <c r="C15" s="14">
        <v>100</v>
      </c>
      <c r="D15" s="14" t="e">
        <f>MIN(匹配并输出!C5)</f>
        <v>#N/A</v>
      </c>
      <c r="F15" s="13"/>
      <c r="G15" s="13"/>
      <c r="H15" s="13"/>
      <c r="I15" s="13"/>
      <c r="J15" s="13"/>
    </row>
  </sheetData>
  <mergeCells count="6">
    <mergeCell ref="F2:J3"/>
    <mergeCell ref="F4:J6"/>
    <mergeCell ref="F7:J8"/>
    <mergeCell ref="F9:G10"/>
    <mergeCell ref="I9:J10"/>
    <mergeCell ref="F12:J15"/>
  </mergeCells>
  <phoneticPr fontId="1" type="noConversion"/>
  <pageMargins left="0.7" right="0.7" top="0.75" bottom="0.75" header="0.3" footer="0.3"/>
  <pageSetup paperSize="9"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回购">
                <anchor moveWithCells="1" sizeWithCells="1">
                  <from>
                    <xdr:col>5</xdr:col>
                    <xdr:colOff>171450</xdr:colOff>
                    <xdr:row>8</xdr:row>
                    <xdr:rowOff>57150</xdr:rowOff>
                  </from>
                  <to>
                    <xdr:col>7</xdr:col>
                    <xdr:colOff>285750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清理表格">
                <anchor moveWithCells="1" sizeWithCells="1">
                  <from>
                    <xdr:col>7</xdr:col>
                    <xdr:colOff>466725</xdr:colOff>
                    <xdr:row>8</xdr:row>
                    <xdr:rowOff>47625</xdr:rowOff>
                  </from>
                  <to>
                    <xdr:col>9</xdr:col>
                    <xdr:colOff>533400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5"/>
  <sheetViews>
    <sheetView workbookViewId="0">
      <pane xSplit="4" topLeftCell="Q1" activePane="topRight" state="frozen"/>
      <selection pane="topRight" activeCell="X1" sqref="X1:X1048576"/>
    </sheetView>
  </sheetViews>
  <sheetFormatPr defaultRowHeight="16.5" x14ac:dyDescent="0.3"/>
  <cols>
    <col min="1" max="16384" width="9" style="1"/>
  </cols>
  <sheetData>
    <row r="1" spans="1:25" x14ac:dyDescent="0.3">
      <c r="A1" s="14"/>
      <c r="B1" s="14"/>
      <c r="C1" s="14"/>
      <c r="D1" s="14"/>
      <c r="W1" s="1" t="s">
        <v>19</v>
      </c>
      <c r="Y1" s="1" t="s">
        <v>21</v>
      </c>
    </row>
    <row r="2" spans="1:25" x14ac:dyDescent="0.3">
      <c r="A2" s="14"/>
      <c r="B2" s="14"/>
      <c r="C2" s="14"/>
      <c r="D2" s="14"/>
      <c r="W2" s="1">
        <f>SUM(E2:V2)*-1+X2</f>
        <v>0</v>
      </c>
      <c r="Y2" s="1">
        <f>W2-X2</f>
        <v>0</v>
      </c>
    </row>
    <row r="3" spans="1:25" x14ac:dyDescent="0.3">
      <c r="A3" s="14"/>
      <c r="B3" s="14"/>
      <c r="C3" s="14"/>
      <c r="D3" s="14"/>
      <c r="W3" s="1">
        <f t="shared" ref="W3:W15" si="0">SUM(E3:V3)*-1+X3</f>
        <v>0</v>
      </c>
      <c r="Y3" s="1">
        <f t="shared" ref="Y3:Y15" si="1">W3-X3</f>
        <v>0</v>
      </c>
    </row>
    <row r="4" spans="1:25" x14ac:dyDescent="0.3">
      <c r="A4" s="14"/>
      <c r="B4" s="14"/>
      <c r="C4" s="14"/>
      <c r="D4" s="14"/>
      <c r="W4" s="1">
        <f t="shared" si="0"/>
        <v>0</v>
      </c>
      <c r="Y4" s="1">
        <f t="shared" si="1"/>
        <v>0</v>
      </c>
    </row>
    <row r="5" spans="1:25" x14ac:dyDescent="0.3">
      <c r="A5" s="14"/>
      <c r="B5" s="14"/>
      <c r="C5" s="14"/>
      <c r="D5" s="14"/>
      <c r="W5" s="1">
        <f t="shared" si="0"/>
        <v>0</v>
      </c>
      <c r="Y5" s="1">
        <f t="shared" si="1"/>
        <v>0</v>
      </c>
    </row>
    <row r="6" spans="1:25" x14ac:dyDescent="0.3">
      <c r="A6" s="14"/>
      <c r="B6" s="14"/>
      <c r="C6" s="14"/>
      <c r="D6" s="14"/>
      <c r="W6" s="1">
        <f t="shared" si="0"/>
        <v>0</v>
      </c>
      <c r="Y6" s="1">
        <f t="shared" si="1"/>
        <v>0</v>
      </c>
    </row>
    <row r="7" spans="1:25" x14ac:dyDescent="0.3">
      <c r="A7" s="14"/>
      <c r="B7" s="14"/>
      <c r="C7" s="14"/>
      <c r="D7" s="14"/>
      <c r="W7" s="1">
        <f t="shared" si="0"/>
        <v>0</v>
      </c>
      <c r="Y7" s="1">
        <f t="shared" si="1"/>
        <v>0</v>
      </c>
    </row>
    <row r="8" spans="1:25" x14ac:dyDescent="0.3">
      <c r="A8" s="14"/>
      <c r="B8" s="14"/>
      <c r="C8" s="14"/>
      <c r="D8" s="14"/>
      <c r="W8" s="1">
        <f t="shared" si="0"/>
        <v>0</v>
      </c>
      <c r="Y8" s="1">
        <f t="shared" si="1"/>
        <v>0</v>
      </c>
    </row>
    <row r="9" spans="1:25" x14ac:dyDescent="0.3">
      <c r="A9" s="14"/>
      <c r="B9" s="14"/>
      <c r="C9" s="14"/>
      <c r="D9" s="14"/>
      <c r="W9" s="1">
        <f t="shared" si="0"/>
        <v>0</v>
      </c>
      <c r="Y9" s="1">
        <f t="shared" si="1"/>
        <v>0</v>
      </c>
    </row>
    <row r="10" spans="1:25" x14ac:dyDescent="0.3">
      <c r="A10" s="14"/>
      <c r="B10" s="14"/>
      <c r="C10" s="14"/>
      <c r="D10" s="14"/>
      <c r="W10" s="1">
        <f t="shared" si="0"/>
        <v>0</v>
      </c>
      <c r="Y10" s="1">
        <f t="shared" si="1"/>
        <v>0</v>
      </c>
    </row>
    <row r="11" spans="1:25" x14ac:dyDescent="0.3">
      <c r="A11" s="14"/>
      <c r="B11" s="14"/>
      <c r="C11" s="14"/>
      <c r="D11" s="14"/>
      <c r="W11" s="1">
        <f t="shared" si="0"/>
        <v>0</v>
      </c>
      <c r="Y11" s="1">
        <f t="shared" si="1"/>
        <v>0</v>
      </c>
    </row>
    <row r="12" spans="1:25" x14ac:dyDescent="0.3">
      <c r="A12" s="14"/>
      <c r="B12" s="14"/>
      <c r="C12" s="14"/>
      <c r="D12" s="14"/>
      <c r="W12" s="1">
        <f t="shared" si="0"/>
        <v>0</v>
      </c>
      <c r="Y12" s="1">
        <f t="shared" si="1"/>
        <v>0</v>
      </c>
    </row>
    <row r="13" spans="1:25" x14ac:dyDescent="0.3">
      <c r="A13" s="14"/>
      <c r="B13" s="14"/>
      <c r="C13" s="14"/>
      <c r="D13" s="14"/>
      <c r="W13" s="1">
        <f t="shared" si="0"/>
        <v>0</v>
      </c>
      <c r="Y13" s="1">
        <f t="shared" si="1"/>
        <v>0</v>
      </c>
    </row>
    <row r="14" spans="1:25" x14ac:dyDescent="0.3">
      <c r="A14" s="14"/>
      <c r="B14" s="14"/>
      <c r="C14" s="14"/>
      <c r="D14" s="14"/>
      <c r="W14" s="1">
        <f t="shared" si="0"/>
        <v>0</v>
      </c>
      <c r="Y14" s="1">
        <f t="shared" si="1"/>
        <v>0</v>
      </c>
    </row>
    <row r="15" spans="1:25" x14ac:dyDescent="0.3">
      <c r="A15" s="14"/>
      <c r="B15" s="14"/>
      <c r="C15" s="14"/>
      <c r="D15" s="14"/>
      <c r="W15" s="1">
        <f t="shared" si="0"/>
        <v>0</v>
      </c>
      <c r="Y15" s="1">
        <f t="shared" si="1"/>
        <v>0</v>
      </c>
    </row>
  </sheetData>
  <sortState ref="A1:D15">
    <sortCondition descending="1" ref="C1"/>
  </sortState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22"/>
  <sheetViews>
    <sheetView topLeftCell="B1" zoomScale="90" zoomScaleNormal="90" workbookViewId="0">
      <selection activeCell="C10" sqref="C10:E13"/>
    </sheetView>
  </sheetViews>
  <sheetFormatPr defaultRowHeight="16.5" x14ac:dyDescent="0.3"/>
  <cols>
    <col min="1" max="2" width="9" style="1"/>
    <col min="3" max="3" width="11.375" style="1" customWidth="1"/>
    <col min="4" max="14" width="7.375" style="1" customWidth="1"/>
    <col min="15" max="15" width="7.5" style="1" customWidth="1"/>
    <col min="16" max="17" width="5.625" style="1" customWidth="1"/>
    <col min="18" max="18" width="0.5" style="2" customWidth="1"/>
    <col min="19" max="20" width="9" style="1"/>
    <col min="21" max="21" width="11.5" style="1" customWidth="1"/>
    <col min="22" max="16384" width="9" style="1"/>
  </cols>
  <sheetData>
    <row r="1" spans="1:24" x14ac:dyDescent="0.3">
      <c r="A1" s="1" t="s">
        <v>16</v>
      </c>
      <c r="B1" s="1" t="s">
        <v>17</v>
      </c>
      <c r="C1" s="1" t="s">
        <v>18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T1" s="1" t="s">
        <v>0</v>
      </c>
      <c r="U1" s="1" t="s">
        <v>20</v>
      </c>
      <c r="V1" s="1" t="s">
        <v>22</v>
      </c>
      <c r="W1" s="1" t="s">
        <v>35</v>
      </c>
      <c r="X1" s="1" t="s">
        <v>34</v>
      </c>
    </row>
    <row r="2" spans="1:24" x14ac:dyDescent="0.3">
      <c r="A2" s="1" t="s">
        <v>12</v>
      </c>
      <c r="B2" s="1">
        <v>500</v>
      </c>
      <c r="C2" s="1" t="e">
        <f>SUM(D2:Q2)+B2</f>
        <v>#N/A</v>
      </c>
      <c r="D2" s="1" t="e">
        <f>V2</f>
        <v>#N/A</v>
      </c>
      <c r="E2" s="1" t="e">
        <f>V3</f>
        <v>#N/A</v>
      </c>
      <c r="F2" s="1" t="e">
        <f>V4</f>
        <v>#N/A</v>
      </c>
      <c r="H2" s="1" t="e">
        <f>V6</f>
        <v>#N/A</v>
      </c>
      <c r="I2" s="1" t="e">
        <f>V7</f>
        <v>#N/A</v>
      </c>
      <c r="J2" s="1" t="e">
        <f>V8</f>
        <v>#N/A</v>
      </c>
      <c r="N2" s="1" t="e">
        <f>V12</f>
        <v>#N/A</v>
      </c>
      <c r="S2" s="1">
        <v>2</v>
      </c>
      <c r="T2" s="1" t="s">
        <v>2</v>
      </c>
      <c r="U2" s="1" t="e">
        <f>MATCH(T2,'计算（不要触碰）'!B:B,0)</f>
        <v>#N/A</v>
      </c>
      <c r="V2" s="1" t="e">
        <f>INDEX('计算（不要触碰）'!Y:Y,MATCH(匹配并输出!T2,'计算（不要触碰）'!B:B,0))</f>
        <v>#N/A</v>
      </c>
      <c r="W2" s="1" t="e">
        <f>INDEX('计算（不要触碰）'!C:C,MATCH(匹配并输出!T2,'计算（不要触碰）'!B:B,0))</f>
        <v>#N/A</v>
      </c>
      <c r="X2" s="1" t="e">
        <f>-V2*W2</f>
        <v>#N/A</v>
      </c>
    </row>
    <row r="3" spans="1:24" x14ac:dyDescent="0.3">
      <c r="A3" s="1" t="s">
        <v>13</v>
      </c>
      <c r="B3" s="1">
        <v>850</v>
      </c>
      <c r="C3" s="1" t="e">
        <f t="shared" ref="C3:C5" si="0">SUM(D3:Q3)+B3</f>
        <v>#N/A</v>
      </c>
      <c r="D3" s="1" t="e">
        <f>V2</f>
        <v>#N/A</v>
      </c>
      <c r="E3" s="1" t="e">
        <f>V3</f>
        <v>#N/A</v>
      </c>
      <c r="G3" s="1" t="e">
        <f>V5</f>
        <v>#N/A</v>
      </c>
      <c r="H3" s="1" t="e">
        <f>V6</f>
        <v>#N/A</v>
      </c>
      <c r="K3" s="1" t="e">
        <f>V9</f>
        <v>#N/A</v>
      </c>
      <c r="L3" s="1" t="e">
        <f>V10</f>
        <v>#N/A</v>
      </c>
      <c r="N3" s="1" t="e">
        <f t="shared" ref="N3:N4" si="1">V13</f>
        <v>#N/A</v>
      </c>
      <c r="S3" s="1">
        <v>3</v>
      </c>
      <c r="T3" s="1" t="s">
        <v>3</v>
      </c>
      <c r="U3" s="1" t="e">
        <f>MATCH(T3,'计算（不要触碰）'!B:B,0)</f>
        <v>#N/A</v>
      </c>
      <c r="V3" s="1" t="e">
        <f>INDEX('计算（不要触碰）'!Y:Y,MATCH(匹配并输出!T3,'计算（不要触碰）'!B:B,0))</f>
        <v>#N/A</v>
      </c>
      <c r="W3" s="1" t="e">
        <f>INDEX('计算（不要触碰）'!C:C,MATCH(匹配并输出!T3,'计算（不要触碰）'!B:B,0))</f>
        <v>#N/A</v>
      </c>
      <c r="X3" s="1" t="e">
        <f t="shared" ref="X3:X15" si="2">-V3*W3</f>
        <v>#N/A</v>
      </c>
    </row>
    <row r="4" spans="1:24" x14ac:dyDescent="0.3">
      <c r="A4" s="1" t="s">
        <v>15</v>
      </c>
      <c r="B4" s="1">
        <v>728</v>
      </c>
      <c r="C4" s="1" t="e">
        <f t="shared" si="0"/>
        <v>#N/A</v>
      </c>
      <c r="D4" s="1" t="e">
        <f>V2</f>
        <v>#N/A</v>
      </c>
      <c r="F4" s="1" t="e">
        <f>V4</f>
        <v>#N/A</v>
      </c>
      <c r="G4" s="1" t="e">
        <f>V5</f>
        <v>#N/A</v>
      </c>
      <c r="I4" s="1" t="e">
        <f>V7</f>
        <v>#N/A</v>
      </c>
      <c r="K4" s="1" t="e">
        <f>V9</f>
        <v>#N/A</v>
      </c>
      <c r="M4" s="1" t="e">
        <f>V11</f>
        <v>#N/A</v>
      </c>
      <c r="N4" s="1" t="e">
        <f t="shared" si="1"/>
        <v>#N/A</v>
      </c>
      <c r="S4" s="1">
        <v>4</v>
      </c>
      <c r="T4" s="1" t="s">
        <v>4</v>
      </c>
      <c r="U4" s="1" t="e">
        <f>MATCH(T4,'计算（不要触碰）'!B:B,0)</f>
        <v>#N/A</v>
      </c>
      <c r="V4" s="1" t="e">
        <f>INDEX('计算（不要触碰）'!Y:Y,MATCH(匹配并输出!T4,'计算（不要触碰）'!B:B,0))</f>
        <v>#N/A</v>
      </c>
      <c r="W4" s="1" t="e">
        <f>INDEX('计算（不要触碰）'!C:C,MATCH(匹配并输出!T4,'计算（不要触碰）'!B:B,0))</f>
        <v>#N/A</v>
      </c>
      <c r="X4" s="1" t="e">
        <f t="shared" si="2"/>
        <v>#N/A</v>
      </c>
    </row>
    <row r="5" spans="1:24" x14ac:dyDescent="0.3">
      <c r="A5" s="1" t="s">
        <v>14</v>
      </c>
      <c r="B5" s="1">
        <v>650</v>
      </c>
      <c r="C5" s="1" t="e">
        <f t="shared" si="0"/>
        <v>#N/A</v>
      </c>
      <c r="E5" s="1" t="e">
        <f>V3</f>
        <v>#N/A</v>
      </c>
      <c r="F5" s="1" t="e">
        <f>V4</f>
        <v>#N/A</v>
      </c>
      <c r="G5" s="1" t="e">
        <f>V5</f>
        <v>#N/A</v>
      </c>
      <c r="J5" s="1" t="e">
        <f>V8</f>
        <v>#N/A</v>
      </c>
      <c r="L5" s="1" t="e">
        <f>V10</f>
        <v>#N/A</v>
      </c>
      <c r="M5" s="1" t="e">
        <f>V11</f>
        <v>#N/A</v>
      </c>
      <c r="N5" s="1" t="e">
        <f>V15</f>
        <v>#N/A</v>
      </c>
      <c r="S5" s="1">
        <v>5</v>
      </c>
      <c r="T5" s="1" t="s">
        <v>5</v>
      </c>
      <c r="U5" s="1" t="e">
        <f>MATCH(T5,'计算（不要触碰）'!B:B,0)</f>
        <v>#N/A</v>
      </c>
      <c r="V5" s="1" t="e">
        <f>INDEX('计算（不要触碰）'!Y:Y,MATCH(匹配并输出!T5,'计算（不要触碰）'!B:B,0))</f>
        <v>#N/A</v>
      </c>
      <c r="W5" s="1" t="e">
        <f>INDEX('计算（不要触碰）'!C:C,MATCH(匹配并输出!T5,'计算（不要触碰）'!B:B,0))</f>
        <v>#N/A</v>
      </c>
      <c r="X5" s="1" t="e">
        <f t="shared" si="2"/>
        <v>#N/A</v>
      </c>
    </row>
    <row r="6" spans="1:24" x14ac:dyDescent="0.3">
      <c r="S6" s="1">
        <v>6</v>
      </c>
      <c r="T6" s="1" t="s">
        <v>6</v>
      </c>
      <c r="U6" s="1" t="e">
        <f>MATCH(T6,'计算（不要触碰）'!B:B,0)</f>
        <v>#N/A</v>
      </c>
      <c r="V6" s="1" t="e">
        <f>INDEX('计算（不要触碰）'!Y:Y,MATCH(匹配并输出!T6,'计算（不要触碰）'!B:B,0))</f>
        <v>#N/A</v>
      </c>
      <c r="W6" s="1" t="e">
        <f>INDEX('计算（不要触碰）'!C:C,MATCH(匹配并输出!T6,'计算（不要触碰）'!B:B,0))</f>
        <v>#N/A</v>
      </c>
      <c r="X6" s="1" t="e">
        <f t="shared" si="2"/>
        <v>#N/A</v>
      </c>
    </row>
    <row r="7" spans="1:24" x14ac:dyDescent="0.3">
      <c r="S7" s="1">
        <v>7</v>
      </c>
      <c r="T7" s="1" t="s">
        <v>10</v>
      </c>
      <c r="U7" s="1" t="e">
        <f>MATCH(T7,'计算（不要触碰）'!B:B,0)</f>
        <v>#N/A</v>
      </c>
      <c r="V7" s="1" t="e">
        <f>INDEX('计算（不要触碰）'!Y:Y,MATCH(匹配并输出!T7,'计算（不要触碰）'!B:B,0))</f>
        <v>#N/A</v>
      </c>
      <c r="W7" s="1" t="e">
        <f>INDEX('计算（不要触碰）'!C:C,MATCH(匹配并输出!T7,'计算（不要触碰）'!B:B,0))</f>
        <v>#N/A</v>
      </c>
      <c r="X7" s="1" t="e">
        <f t="shared" si="2"/>
        <v>#N/A</v>
      </c>
    </row>
    <row r="8" spans="1:24" x14ac:dyDescent="0.3">
      <c r="S8" s="1">
        <v>8</v>
      </c>
      <c r="T8" s="1" t="s">
        <v>9</v>
      </c>
      <c r="U8" s="1" t="e">
        <f>MATCH(T8,'计算（不要触碰）'!B:B,0)</f>
        <v>#N/A</v>
      </c>
      <c r="V8" s="1" t="e">
        <f>INDEX('计算（不要触碰）'!Y:Y,MATCH(匹配并输出!T8,'计算（不要触碰）'!B:B,0))</f>
        <v>#N/A</v>
      </c>
      <c r="W8" s="1" t="e">
        <f>INDEX('计算（不要触碰）'!C:C,MATCH(匹配并输出!T8,'计算（不要触碰）'!B:B,0))</f>
        <v>#N/A</v>
      </c>
      <c r="X8" s="1" t="e">
        <f t="shared" si="2"/>
        <v>#N/A</v>
      </c>
    </row>
    <row r="9" spans="1:24" x14ac:dyDescent="0.3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S9" s="1">
        <v>9</v>
      </c>
      <c r="T9" s="1" t="s">
        <v>7</v>
      </c>
      <c r="U9" s="1" t="e">
        <f>MATCH(T9,'计算（不要触碰）'!B:B,0)</f>
        <v>#N/A</v>
      </c>
      <c r="V9" s="1" t="e">
        <f>INDEX('计算（不要触碰）'!Y:Y,MATCH(匹配并输出!T9,'计算（不要触碰）'!B:B,0))</f>
        <v>#N/A</v>
      </c>
      <c r="W9" s="1" t="e">
        <f>INDEX('计算（不要触碰）'!C:C,MATCH(匹配并输出!T9,'计算（不要触碰）'!B:B,0))</f>
        <v>#N/A</v>
      </c>
      <c r="X9" s="1" t="e">
        <f t="shared" si="2"/>
        <v>#N/A</v>
      </c>
    </row>
    <row r="10" spans="1:24" x14ac:dyDescent="0.3">
      <c r="B10" s="3"/>
      <c r="C10" s="4" t="s">
        <v>36</v>
      </c>
      <c r="D10" s="4"/>
      <c r="E10" s="4"/>
      <c r="F10" s="5" t="e">
        <f>SUM(X2:X15)</f>
        <v>#N/A</v>
      </c>
      <c r="G10" s="5"/>
      <c r="H10" s="5"/>
      <c r="I10" s="5"/>
      <c r="J10" s="5"/>
      <c r="K10" s="5"/>
      <c r="L10" s="3"/>
      <c r="M10" s="3"/>
      <c r="N10" s="3"/>
      <c r="O10" s="3"/>
      <c r="S10" s="1">
        <v>10</v>
      </c>
      <c r="T10" s="1" t="s">
        <v>11</v>
      </c>
      <c r="U10" s="1" t="e">
        <f>MATCH(T10,'计算（不要触碰）'!B:B,0)</f>
        <v>#N/A</v>
      </c>
      <c r="V10" s="1" t="e">
        <f>INDEX('计算（不要触碰）'!Y:Y,MATCH(匹配并输出!T10,'计算（不要触碰）'!B:B,0))</f>
        <v>#N/A</v>
      </c>
      <c r="W10" s="1" t="e">
        <f>INDEX('计算（不要触碰）'!C:C,MATCH(匹配并输出!T10,'计算（不要触碰）'!B:B,0))</f>
        <v>#N/A</v>
      </c>
      <c r="X10" s="1" t="e">
        <f t="shared" si="2"/>
        <v>#N/A</v>
      </c>
    </row>
    <row r="11" spans="1:24" x14ac:dyDescent="0.3">
      <c r="B11" s="3"/>
      <c r="C11" s="4"/>
      <c r="D11" s="4"/>
      <c r="E11" s="4"/>
      <c r="F11" s="5"/>
      <c r="G11" s="5"/>
      <c r="H11" s="5"/>
      <c r="I11" s="5"/>
      <c r="J11" s="5"/>
      <c r="K11" s="5"/>
      <c r="L11" s="3"/>
      <c r="M11" s="3"/>
      <c r="N11" s="3"/>
      <c r="O11" s="3"/>
      <c r="S11" s="1">
        <v>11</v>
      </c>
      <c r="T11" s="1" t="s">
        <v>8</v>
      </c>
      <c r="U11" s="1" t="e">
        <f>MATCH(T11,'计算（不要触碰）'!B:B,0)</f>
        <v>#N/A</v>
      </c>
      <c r="V11" s="1" t="e">
        <f>INDEX('计算（不要触碰）'!Y:Y,MATCH(匹配并输出!T11,'计算（不要触碰）'!B:B,0))</f>
        <v>#N/A</v>
      </c>
      <c r="W11" s="1" t="e">
        <f>INDEX('计算（不要触碰）'!C:C,MATCH(匹配并输出!T11,'计算（不要触碰）'!B:B,0))</f>
        <v>#N/A</v>
      </c>
      <c r="X11" s="1" t="e">
        <f t="shared" si="2"/>
        <v>#N/A</v>
      </c>
    </row>
    <row r="12" spans="1:24" x14ac:dyDescent="0.3">
      <c r="B12" s="3"/>
      <c r="C12" s="4"/>
      <c r="D12" s="4"/>
      <c r="E12" s="4"/>
      <c r="F12" s="5"/>
      <c r="G12" s="5"/>
      <c r="H12" s="5"/>
      <c r="I12" s="5"/>
      <c r="J12" s="5"/>
      <c r="K12" s="5"/>
      <c r="L12" s="3"/>
      <c r="M12" s="15"/>
      <c r="N12" s="15"/>
      <c r="O12" s="3"/>
      <c r="S12" s="1">
        <v>12</v>
      </c>
      <c r="T12" s="1" t="s">
        <v>12</v>
      </c>
      <c r="U12" s="1" t="e">
        <f>MATCH(T12,'计算（不要触碰）'!B:B,0)</f>
        <v>#N/A</v>
      </c>
      <c r="V12" s="1" t="e">
        <f>INDEX('计算（不要触碰）'!Y:Y,MATCH(匹配并输出!T12,'计算（不要触碰）'!B:B,0))</f>
        <v>#N/A</v>
      </c>
      <c r="W12" s="1" t="e">
        <f>INDEX('计算（不要触碰）'!C:C,MATCH(匹配并输出!T12,'计算（不要触碰）'!B:B,0))</f>
        <v>#N/A</v>
      </c>
      <c r="X12" s="1" t="e">
        <f t="shared" si="2"/>
        <v>#N/A</v>
      </c>
    </row>
    <row r="13" spans="1:24" x14ac:dyDescent="0.3">
      <c r="B13" s="3"/>
      <c r="C13" s="4"/>
      <c r="D13" s="4"/>
      <c r="E13" s="4"/>
      <c r="F13" s="5"/>
      <c r="G13" s="5"/>
      <c r="H13" s="5"/>
      <c r="I13" s="5"/>
      <c r="J13" s="5"/>
      <c r="K13" s="5"/>
      <c r="L13" s="3"/>
      <c r="M13" s="15"/>
      <c r="N13" s="15"/>
      <c r="O13" s="3"/>
      <c r="S13" s="1">
        <v>13</v>
      </c>
      <c r="T13" s="1" t="s">
        <v>13</v>
      </c>
      <c r="U13" s="1" t="e">
        <f>MATCH(T13,'计算（不要触碰）'!B:B,0)</f>
        <v>#N/A</v>
      </c>
      <c r="V13" s="1" t="e">
        <f>INDEX('计算（不要触碰）'!Y:Y,MATCH(匹配并输出!T13,'计算（不要触碰）'!B:B,0))</f>
        <v>#N/A</v>
      </c>
      <c r="W13" s="1" t="e">
        <f>INDEX('计算（不要触碰）'!C:C,MATCH(匹配并输出!T13,'计算（不要触碰）'!B:B,0))</f>
        <v>#N/A</v>
      </c>
      <c r="X13" s="1" t="e">
        <f t="shared" si="2"/>
        <v>#N/A</v>
      </c>
    </row>
    <row r="14" spans="1:24" ht="14.25" customHeight="1" x14ac:dyDescent="0.3">
      <c r="B14" s="3"/>
      <c r="C14" s="6" t="s">
        <v>37</v>
      </c>
      <c r="D14" s="6"/>
      <c r="E14" s="6"/>
      <c r="F14" s="7" t="e">
        <f>SUM(X2:X11)</f>
        <v>#N/A</v>
      </c>
      <c r="G14" s="7"/>
      <c r="H14" s="7"/>
      <c r="I14" s="7"/>
      <c r="J14" s="7"/>
      <c r="K14" s="7"/>
      <c r="L14" s="3"/>
      <c r="M14" s="15"/>
      <c r="N14" s="15"/>
      <c r="O14" s="3"/>
      <c r="S14" s="1">
        <v>14</v>
      </c>
      <c r="T14" s="1" t="s">
        <v>15</v>
      </c>
      <c r="U14" s="1" t="e">
        <f>MATCH(T14,'计算（不要触碰）'!B:B,0)</f>
        <v>#N/A</v>
      </c>
      <c r="V14" s="1" t="e">
        <f>INDEX('计算（不要触碰）'!Y:Y,MATCH(匹配并输出!T14,'计算（不要触碰）'!B:B,0))</f>
        <v>#N/A</v>
      </c>
      <c r="W14" s="1" t="e">
        <f>INDEX('计算（不要触碰）'!C:C,MATCH(匹配并输出!T14,'计算（不要触碰）'!B:B,0))</f>
        <v>#N/A</v>
      </c>
      <c r="X14" s="1" t="e">
        <f t="shared" si="2"/>
        <v>#N/A</v>
      </c>
    </row>
    <row r="15" spans="1:24" ht="14.25" customHeight="1" x14ac:dyDescent="0.3">
      <c r="B15" s="3"/>
      <c r="C15" s="6"/>
      <c r="D15" s="6"/>
      <c r="E15" s="6"/>
      <c r="F15" s="7"/>
      <c r="G15" s="7"/>
      <c r="H15" s="7"/>
      <c r="I15" s="7"/>
      <c r="J15" s="7"/>
      <c r="K15" s="7"/>
      <c r="L15" s="3"/>
      <c r="M15" s="3"/>
      <c r="N15" s="3"/>
      <c r="O15" s="3"/>
      <c r="S15" s="1">
        <v>15</v>
      </c>
      <c r="T15" s="1" t="s">
        <v>14</v>
      </c>
      <c r="U15" s="1" t="e">
        <f>MATCH(T15,'计算（不要触碰）'!B:B,0)</f>
        <v>#N/A</v>
      </c>
      <c r="V15" s="1" t="e">
        <f>INDEX('计算（不要触碰）'!Y:Y,MATCH(匹配并输出!T15,'计算（不要触碰）'!B:B,0))</f>
        <v>#N/A</v>
      </c>
      <c r="W15" s="1" t="e">
        <f>INDEX('计算（不要触碰）'!C:C,MATCH(匹配并输出!T15,'计算（不要触碰）'!B:B,0))</f>
        <v>#N/A</v>
      </c>
      <c r="X15" s="1" t="e">
        <f t="shared" si="2"/>
        <v>#N/A</v>
      </c>
    </row>
    <row r="16" spans="1:24" ht="14.25" customHeight="1" x14ac:dyDescent="0.3">
      <c r="B16" s="3"/>
      <c r="C16" s="6"/>
      <c r="D16" s="6"/>
      <c r="E16" s="6"/>
      <c r="F16" s="7"/>
      <c r="G16" s="7"/>
      <c r="H16" s="7"/>
      <c r="I16" s="7"/>
      <c r="J16" s="7"/>
      <c r="K16" s="7"/>
      <c r="L16" s="3"/>
      <c r="M16" s="3"/>
      <c r="N16" s="3"/>
      <c r="O16" s="3"/>
    </row>
    <row r="17" spans="2:15" x14ac:dyDescent="0.3">
      <c r="B17" s="3"/>
      <c r="C17" s="6"/>
      <c r="D17" s="6"/>
      <c r="E17" s="6"/>
      <c r="F17" s="7"/>
      <c r="G17" s="7"/>
      <c r="H17" s="7"/>
      <c r="I17" s="7"/>
      <c r="J17" s="7"/>
      <c r="K17" s="7"/>
      <c r="L17" s="3"/>
      <c r="M17" s="3"/>
      <c r="N17" s="3"/>
      <c r="O17" s="3"/>
    </row>
    <row r="18" spans="2:15" x14ac:dyDescent="0.3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20" spans="2:15" x14ac:dyDescent="0.3">
      <c r="C20" s="8" t="s">
        <v>38</v>
      </c>
      <c r="D20" s="8"/>
      <c r="E20" s="8"/>
      <c r="F20" s="8"/>
      <c r="G20" s="8"/>
      <c r="H20" s="8"/>
      <c r="I20" s="8"/>
      <c r="J20" s="8"/>
      <c r="K20" s="8"/>
    </row>
    <row r="21" spans="2:15" x14ac:dyDescent="0.3">
      <c r="C21" s="8"/>
      <c r="D21" s="8"/>
      <c r="E21" s="8"/>
      <c r="F21" s="8"/>
      <c r="G21" s="8"/>
      <c r="H21" s="8"/>
      <c r="I21" s="8"/>
      <c r="J21" s="8"/>
      <c r="K21" s="8"/>
    </row>
    <row r="22" spans="2:15" x14ac:dyDescent="0.3">
      <c r="C22" s="8"/>
      <c r="D22" s="8"/>
      <c r="E22" s="8"/>
      <c r="F22" s="8"/>
      <c r="G22" s="8"/>
      <c r="H22" s="8"/>
      <c r="I22" s="8"/>
      <c r="J22" s="8"/>
      <c r="K22" s="8"/>
    </row>
  </sheetData>
  <mergeCells count="6">
    <mergeCell ref="M12:N14"/>
    <mergeCell ref="C20:K22"/>
    <mergeCell ref="C10:E13"/>
    <mergeCell ref="F10:K13"/>
    <mergeCell ref="C14:E17"/>
    <mergeCell ref="F14:K17"/>
  </mergeCells>
  <phoneticPr fontId="1" type="noConversion"/>
  <pageMargins left="0.7" right="0.7" top="0.75" bottom="0.75" header="0.3" footer="0.3"/>
  <pageSetup paperSize="9"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清理表格">
                <anchor moveWithCells="1" sizeWithCells="1">
                  <from>
                    <xdr:col>12</xdr:col>
                    <xdr:colOff>38100</xdr:colOff>
                    <xdr:row>11</xdr:row>
                    <xdr:rowOff>47625</xdr:rowOff>
                  </from>
                  <to>
                    <xdr:col>13</xdr:col>
                    <xdr:colOff>514350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输入</vt:lpstr>
      <vt:lpstr>计算（不要触碰）</vt:lpstr>
      <vt:lpstr>匹配并输出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2016-08-30T07:43:56Z</dcterms:modified>
</cp:coreProperties>
</file>