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5345" windowHeight="4515"/>
  </bookViews>
  <sheets>
    <sheet name="输入" sheetId="1" r:id="rId1"/>
    <sheet name="计算（不要触碰）" sheetId="4" r:id="rId2"/>
    <sheet name="匹配并输出" sheetId="3" r:id="rId3"/>
    <sheet name="记录器财年1" sheetId="7" r:id="rId4"/>
    <sheet name="记录器财年2" sheetId="9" r:id="rId5"/>
    <sheet name="记录器财年3" sheetId="10" r:id="rId6"/>
    <sheet name="记录器财年4" sheetId="11" r:id="rId7"/>
    <sheet name="实施预测（请勿删除）" sheetId="5" r:id="rId8"/>
    <sheet name="预测系统错" sheetId="6" r:id="rId9"/>
    <sheet name="真的预测" sheetId="8" r:id="rId10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16" i="4" l="1"/>
  <c r="W3" i="4" l="1"/>
  <c r="Y3" i="4" s="1"/>
  <c r="V3" i="3" s="1"/>
  <c r="W4" i="4"/>
  <c r="Y4" i="4" s="1"/>
  <c r="V4" i="3" s="1"/>
  <c r="W2" i="4"/>
  <c r="Y2" i="4" s="1"/>
  <c r="W9" i="4"/>
  <c r="Y9" i="4" s="1"/>
  <c r="V8" i="3" s="1"/>
  <c r="W7" i="4"/>
  <c r="Y7" i="4" s="1"/>
  <c r="V10" i="3" s="1"/>
  <c r="W6" i="4"/>
  <c r="Y6" i="4" s="1"/>
  <c r="V11" i="3" s="1"/>
  <c r="W12" i="4"/>
  <c r="Y12" i="4" s="1"/>
  <c r="V15" i="3" s="1"/>
  <c r="N5" i="3" s="1"/>
  <c r="W5" i="4"/>
  <c r="Y5" i="4" s="1"/>
  <c r="W10" i="4"/>
  <c r="Y10" i="4" s="1"/>
  <c r="V7" i="3" s="1"/>
  <c r="I4" i="3" s="1"/>
  <c r="W11" i="4"/>
  <c r="Y11" i="4" s="1"/>
  <c r="V9" i="3" s="1"/>
  <c r="K3" i="3" s="1"/>
  <c r="W14" i="4"/>
  <c r="Y14" i="4" s="1"/>
  <c r="V14" i="3" s="1"/>
  <c r="N4" i="3" s="1"/>
  <c r="W8" i="4"/>
  <c r="Y8" i="4" s="1"/>
  <c r="V6" i="3" s="1"/>
  <c r="H2" i="3" s="1"/>
  <c r="W13" i="4"/>
  <c r="Y13" i="4" s="1"/>
  <c r="V13" i="3" s="1"/>
  <c r="W15" i="4"/>
  <c r="Y15" i="4" s="1"/>
  <c r="V12" i="3" s="1"/>
  <c r="N2" i="3" s="1"/>
  <c r="B5" i="3"/>
  <c r="B4" i="3"/>
  <c r="B3" i="3"/>
  <c r="B2" i="3"/>
  <c r="E8" i="10"/>
  <c r="D2" i="9"/>
  <c r="N5" i="9"/>
  <c r="D2" i="10"/>
  <c r="N5" i="10"/>
  <c r="D2" i="11"/>
  <c r="N5" i="11"/>
  <c r="B2" i="9"/>
  <c r="B2" i="10"/>
  <c r="J5" i="10"/>
  <c r="B2" i="11"/>
  <c r="J5" i="11"/>
  <c r="A2" i="9"/>
  <c r="H5" i="9"/>
  <c r="A2" i="10"/>
  <c r="H5" i="10"/>
  <c r="A2" i="11"/>
  <c r="H5" i="11"/>
  <c r="C11" i="9"/>
  <c r="C2" i="9"/>
  <c r="L5" i="9"/>
  <c r="C2" i="10"/>
  <c r="L5" i="10"/>
  <c r="C2" i="11"/>
  <c r="L5" i="11"/>
  <c r="E2" i="9"/>
  <c r="P5" i="9"/>
  <c r="K10" i="11"/>
  <c r="N5" i="7"/>
  <c r="L5" i="7"/>
  <c r="J5" i="7"/>
  <c r="H5" i="7"/>
  <c r="W2" i="3"/>
  <c r="W3" i="3"/>
  <c r="W4" i="3"/>
  <c r="W5" i="3"/>
  <c r="W6" i="3"/>
  <c r="W7" i="3"/>
  <c r="W8" i="3"/>
  <c r="W9" i="3"/>
  <c r="W10" i="3"/>
  <c r="W11" i="3"/>
  <c r="W12" i="3"/>
  <c r="W13" i="3"/>
  <c r="W14" i="3"/>
  <c r="W15" i="3"/>
  <c r="E3" i="7"/>
  <c r="C3" i="8"/>
  <c r="F13" i="8"/>
  <c r="C2" i="8"/>
  <c r="F6" i="8"/>
  <c r="C4" i="8"/>
  <c r="F7" i="8"/>
  <c r="B25" i="5"/>
  <c r="P5" i="7"/>
  <c r="E2" i="10"/>
  <c r="P5" i="10"/>
  <c r="E2" i="11"/>
  <c r="P5" i="11"/>
  <c r="J5" i="9"/>
  <c r="C5" i="8"/>
  <c r="F11" i="8"/>
  <c r="F10" i="8"/>
  <c r="F9" i="8"/>
  <c r="F8" i="8"/>
  <c r="F15" i="8"/>
  <c r="F14" i="8"/>
  <c r="F12" i="8"/>
  <c r="F5" i="8"/>
  <c r="F4" i="8"/>
  <c r="F3" i="8"/>
  <c r="F2" i="8"/>
  <c r="K6" i="6"/>
  <c r="K4" i="6"/>
  <c r="K3" i="6"/>
  <c r="K5" i="6"/>
  <c r="K12" i="6"/>
  <c r="K11" i="6"/>
  <c r="K10" i="6"/>
  <c r="K9" i="6"/>
  <c r="K8" i="6"/>
  <c r="K7" i="6"/>
  <c r="K13" i="6"/>
  <c r="K14" i="6"/>
  <c r="K15" i="6"/>
  <c r="K16" i="6"/>
  <c r="I11" i="5"/>
  <c r="I8" i="5"/>
  <c r="I10" i="5"/>
  <c r="B24" i="5"/>
  <c r="B23" i="5"/>
  <c r="B5" i="5"/>
  <c r="B6" i="5"/>
  <c r="B4" i="5"/>
  <c r="K9" i="5"/>
  <c r="I9" i="5"/>
  <c r="U2" i="3"/>
  <c r="U3" i="3"/>
  <c r="U4" i="3"/>
  <c r="U5" i="3"/>
  <c r="U6" i="3"/>
  <c r="U7" i="3"/>
  <c r="U8" i="3"/>
  <c r="U9" i="3"/>
  <c r="U10" i="3"/>
  <c r="U11" i="3"/>
  <c r="U12" i="3"/>
  <c r="U13" i="3"/>
  <c r="U14" i="3"/>
  <c r="U15" i="3"/>
  <c r="V5" i="3" l="1"/>
  <c r="G5" i="3" s="1"/>
  <c r="V2" i="3"/>
  <c r="X2" i="3" s="1"/>
  <c r="M4" i="3"/>
  <c r="M5" i="3"/>
  <c r="J2" i="3"/>
  <c r="J5" i="3"/>
  <c r="L3" i="3"/>
  <c r="L5" i="3"/>
  <c r="F2" i="3"/>
  <c r="X4" i="3"/>
  <c r="F5" i="3"/>
  <c r="E3" i="3"/>
  <c r="E5" i="3"/>
  <c r="X12" i="3"/>
  <c r="I2" i="3"/>
  <c r="H3" i="3"/>
  <c r="K4" i="3"/>
  <c r="X13" i="3"/>
  <c r="X6" i="3"/>
  <c r="X8" i="3"/>
  <c r="E2" i="3"/>
  <c r="X15" i="3"/>
  <c r="X10" i="3"/>
  <c r="X3" i="3"/>
  <c r="N3" i="3"/>
  <c r="X9" i="3"/>
  <c r="X7" i="3"/>
  <c r="F4" i="3"/>
  <c r="X14" i="3"/>
  <c r="X11" i="3"/>
  <c r="G3" i="3" l="1"/>
  <c r="X5" i="3"/>
  <c r="F10" i="3" s="1"/>
  <c r="G4" i="3"/>
  <c r="D4" i="3"/>
  <c r="D3" i="3"/>
  <c r="C3" i="3" s="1"/>
  <c r="D2" i="3"/>
  <c r="C2" i="3" s="1"/>
  <c r="C5" i="3"/>
  <c r="C4" i="3" l="1"/>
  <c r="F14" i="3"/>
  <c r="D6" i="1"/>
  <c r="D15" i="1"/>
  <c r="D12" i="1"/>
  <c r="D8" i="1"/>
  <c r="D3" i="1"/>
  <c r="D10" i="1"/>
  <c r="D13" i="1"/>
  <c r="D2" i="1" l="1"/>
  <c r="AA2" i="4"/>
  <c r="D14" i="1"/>
  <c r="D7" i="1"/>
  <c r="D5" i="1"/>
  <c r="D9" i="1"/>
  <c r="D4" i="1"/>
  <c r="D11" i="1"/>
</calcChain>
</file>

<file path=xl/sharedStrings.xml><?xml version="1.0" encoding="utf-8"?>
<sst xmlns="http://schemas.openxmlformats.org/spreadsheetml/2006/main" count="199" uniqueCount="100">
  <si>
    <t>输入品类</t>
    <phoneticPr fontId="1" type="noConversion"/>
  </si>
  <si>
    <t>输入价格</t>
    <phoneticPr fontId="1" type="noConversion"/>
  </si>
  <si>
    <t>abc</t>
    <phoneticPr fontId="1" type="noConversion"/>
  </si>
  <si>
    <t>abd</t>
    <phoneticPr fontId="1" type="noConversion"/>
  </si>
  <si>
    <t>acd</t>
    <phoneticPr fontId="1" type="noConversion"/>
  </si>
  <si>
    <t>bcd</t>
    <phoneticPr fontId="1" type="noConversion"/>
  </si>
  <si>
    <t>ab</t>
    <phoneticPr fontId="1" type="noConversion"/>
  </si>
  <si>
    <t>bc</t>
    <phoneticPr fontId="1" type="noConversion"/>
  </si>
  <si>
    <t>cd</t>
    <phoneticPr fontId="1" type="noConversion"/>
  </si>
  <si>
    <t>ad</t>
    <phoneticPr fontId="1" type="noConversion"/>
  </si>
  <si>
    <t>ac</t>
    <phoneticPr fontId="1" type="noConversion"/>
  </si>
  <si>
    <t>bd</t>
    <phoneticPr fontId="1" type="noConversion"/>
  </si>
  <si>
    <t>a</t>
    <phoneticPr fontId="1" type="noConversion"/>
  </si>
  <si>
    <t>b</t>
    <phoneticPr fontId="1" type="noConversion"/>
  </si>
  <si>
    <t>d</t>
    <phoneticPr fontId="1" type="noConversion"/>
  </si>
  <si>
    <t>c</t>
    <phoneticPr fontId="1" type="noConversion"/>
  </si>
  <si>
    <t>现有品类</t>
    <phoneticPr fontId="1" type="noConversion"/>
  </si>
  <si>
    <t>数量</t>
    <phoneticPr fontId="1" type="noConversion"/>
  </si>
  <si>
    <t>实时数量</t>
    <phoneticPr fontId="1" type="noConversion"/>
  </si>
  <si>
    <t>total</t>
    <phoneticPr fontId="1" type="noConversion"/>
  </si>
  <si>
    <t>绝对位置(行)</t>
    <phoneticPr fontId="1" type="noConversion"/>
  </si>
  <si>
    <t>差额</t>
    <phoneticPr fontId="1" type="noConversion"/>
  </si>
  <si>
    <t>数量变动</t>
    <phoneticPr fontId="1" type="noConversion"/>
  </si>
  <si>
    <t>abc</t>
    <phoneticPr fontId="1" type="noConversion"/>
  </si>
  <si>
    <t>abd</t>
    <phoneticPr fontId="1" type="noConversion"/>
  </si>
  <si>
    <t>acd</t>
    <phoneticPr fontId="1" type="noConversion"/>
  </si>
  <si>
    <t>bcd</t>
    <phoneticPr fontId="1" type="noConversion"/>
  </si>
  <si>
    <t>ab</t>
    <phoneticPr fontId="1" type="noConversion"/>
  </si>
  <si>
    <t>ac</t>
    <phoneticPr fontId="1" type="noConversion"/>
  </si>
  <si>
    <t>ad</t>
    <phoneticPr fontId="1" type="noConversion"/>
  </si>
  <si>
    <t>bc</t>
    <phoneticPr fontId="1" type="noConversion"/>
  </si>
  <si>
    <t>bd</t>
    <phoneticPr fontId="1" type="noConversion"/>
  </si>
  <si>
    <t>cd</t>
    <phoneticPr fontId="1" type="noConversion"/>
  </si>
  <si>
    <t>a/b/c/d</t>
    <phoneticPr fontId="1" type="noConversion"/>
  </si>
  <si>
    <t>获益</t>
    <phoneticPr fontId="1" type="noConversion"/>
  </si>
  <si>
    <t>单价</t>
    <phoneticPr fontId="1" type="noConversion"/>
  </si>
  <si>
    <t>总价（卖掉单品）</t>
    <phoneticPr fontId="1" type="noConversion"/>
  </si>
  <si>
    <t>总价（不买单品）</t>
    <phoneticPr fontId="1" type="noConversion"/>
  </si>
  <si>
    <t>不要动蓝框外的东西！</t>
    <phoneticPr fontId="1" type="noConversion"/>
  </si>
  <si>
    <t>使用须知</t>
    <phoneticPr fontId="1" type="noConversion"/>
  </si>
  <si>
    <t>自行填入回购单价（暂不支持超过15个品种）</t>
    <phoneticPr fontId="1" type="noConversion"/>
  </si>
  <si>
    <t>警告:不要随意修改无底色的区域！</t>
    <phoneticPr fontId="1" type="noConversion"/>
  </si>
  <si>
    <t>请先点击清理表格来清除运算区域</t>
    <phoneticPr fontId="1" type="noConversion"/>
  </si>
  <si>
    <t>原材料有辉铜矿、铅锌矿、锡石和红土镍矿四种，每个部门的每条矿脉每财年至多可开 采出 400 单位原材料，每单位原材料的生产成本为 200 创币。</t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</si>
  <si>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</si>
  <si>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</si>
  <si>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</si>
  <si>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</si>
  <si>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外国语</t>
    <phoneticPr fontId="1" type="noConversion"/>
  </si>
  <si>
    <t>五校联合</t>
    <phoneticPr fontId="1" type="noConversion"/>
  </si>
  <si>
    <t>2.2.3 公司组别 共设 28 个公司，根据起始资产的多少设为 500,000、750,000、1,000,000、1,250,000、 1,500,000、1,750,000 及 2,000,000 创币七个组别，每个组别有 4 个不同部门的公司，这 些组别的公司分别拥有本部门的 2、3、4、5、6、7、8 条矿脉。</t>
    <phoneticPr fontId="1" type="noConversion"/>
  </si>
  <si>
    <t>abc</t>
  </si>
  <si>
    <t>abd</t>
  </si>
  <si>
    <t>acd</t>
  </si>
  <si>
    <t>bcd</t>
  </si>
  <si>
    <t>ab</t>
  </si>
  <si>
    <t>ac</t>
  </si>
  <si>
    <t>ad</t>
  </si>
  <si>
    <t>bc</t>
  </si>
  <si>
    <t>bd</t>
  </si>
  <si>
    <t>cd</t>
  </si>
  <si>
    <t>a</t>
  </si>
  <si>
    <t>b</t>
  </si>
  <si>
    <t>c</t>
  </si>
  <si>
    <t>d</t>
  </si>
  <si>
    <t>f3a</t>
    <phoneticPr fontId="1" type="noConversion"/>
  </si>
  <si>
    <t>f2a</t>
    <phoneticPr fontId="1" type="noConversion"/>
  </si>
  <si>
    <t>f1a</t>
    <phoneticPr fontId="1" type="noConversion"/>
  </si>
  <si>
    <t>k保有量</t>
  </si>
  <si>
    <t>k保有量</t>
    <phoneticPr fontId="1" type="noConversion"/>
  </si>
  <si>
    <t>k2</t>
  </si>
  <si>
    <t>k2</t>
    <phoneticPr fontId="1" type="noConversion"/>
  </si>
  <si>
    <t>k3</t>
  </si>
  <si>
    <t>k3</t>
    <phoneticPr fontId="1" type="noConversion"/>
  </si>
  <si>
    <t>品类</t>
    <phoneticPr fontId="1" type="noConversion"/>
  </si>
  <si>
    <t>价格</t>
    <phoneticPr fontId="1" type="noConversion"/>
  </si>
  <si>
    <t>kB2</t>
    <phoneticPr fontId="1" type="noConversion"/>
  </si>
  <si>
    <t>KB2</t>
    <phoneticPr fontId="1" type="noConversion"/>
  </si>
  <si>
    <t>Input</t>
    <phoneticPr fontId="1" type="noConversion"/>
  </si>
  <si>
    <t>资产</t>
    <phoneticPr fontId="1" type="noConversion"/>
  </si>
  <si>
    <t>这里的数据是会事实反馈到回购价计算系统中的</t>
    <phoneticPr fontId="1" type="noConversion"/>
  </si>
  <si>
    <t>还内置了实时交易记录器和不完善的回购价预测系统</t>
    <phoneticPr fontId="1" type="noConversion"/>
  </si>
  <si>
    <t>BY FQY</t>
    <phoneticPr fontId="1" type="noConversion"/>
  </si>
  <si>
    <t>a()</t>
  </si>
  <si>
    <t>A</t>
  </si>
  <si>
    <t>B</t>
  </si>
  <si>
    <t>C</t>
  </si>
  <si>
    <t>D</t>
  </si>
  <si>
    <t>备注</t>
    <phoneticPr fontId="1" type="noConversion"/>
  </si>
  <si>
    <t>上一财年</t>
    <phoneticPr fontId="1" type="noConversion"/>
  </si>
  <si>
    <t>初始</t>
    <phoneticPr fontId="1" type="noConversion"/>
  </si>
  <si>
    <t>d</t>
    <phoneticPr fontId="1" type="noConversion"/>
  </si>
  <si>
    <t>开采</t>
    <phoneticPr fontId="1" type="noConversion"/>
  </si>
  <si>
    <t>交易</t>
    <phoneticPr fontId="1" type="noConversion"/>
  </si>
  <si>
    <t>回购</t>
    <phoneticPr fontId="1" type="noConversion"/>
  </si>
  <si>
    <t>股权C2  40%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</si>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</sst>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sz val="16"/>
      <color theme="1"/>
      <name val="微软雅黑"/>
      <family val="2"/>
      <charset val="134"/>
    </font>
    <font>
      <sz val="36"/>
      <color rgb="FFFF0000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sz val="24"/>
      <color theme="1"/>
      <name val="微软雅黑"/>
      <family val="2"/>
      <charset val="134"/>
    </font>
    <font>
      <sz val="16"/>
      <color rgb="FFFF0000"/>
      <name val="微软雅黑"/>
      <family val="2"/>
      <charset val="134"/>
    </font>
    <font>
      <sz val="18"/>
      <color rgb="FF000000"/>
      <name val="微软雅黑"/>
      <family val="2"/>
      <charset val="134"/>
    </font>
    <font>
      <sz val="16"/>
      <color rgb="FF000000"/>
      <name val="微软雅黑"/>
      <family val="2"/>
      <charset val="134"/>
    </font>
    <font>
      <sz val="24"/>
      <color theme="1"/>
      <name val="等线"/>
      <family val="2"/>
      <scheme val="minor"/>
    </font>
    <font>
      <b/>
      <sz val="26"/>
      <color rgb="FFFF0000"/>
      <name val="等线"/>
      <family val="3"/>
      <charset val="134"/>
      <scheme val="minor"/>
    </font>
    <font>
      <b/>
      <sz val="28"/>
      <color rgb="FFFF0000"/>
      <name val="等线"/>
      <family val="3"/>
      <charset val="134"/>
      <scheme val="minor"/>
    </font>
    <font>
      <sz val="12"/>
      <color theme="1"/>
      <name val="等线"/>
      <family val="3"/>
      <charset val="134"/>
      <scheme val="minor"/>
    </font>
    <font>
      <sz val="14"/>
      <color theme="1"/>
      <name val="微软雅黑"/>
      <family val="2"/>
      <charset val="134"/>
    </font>
    <font>
      <sz val="18"/>
      <color theme="1"/>
      <name val="微软雅黑"/>
      <family val="2"/>
      <charset val="134"/>
    </font>
  </fonts>
  <fills count="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1">
    <xf numFmtId="0" fontId="0" fillId="0" borderId="0"/>
  </cellStyleXfs>
  <cellXfs count="39">
    <xf numFmtId="0" fontId="0" fillId="0" borderId="0" xfId="0"/>
    <xf numFmtId="0" fontId="2" fillId="0" borderId="0" xfId="0" applyFont="1"/>
    <xf numFmtId="0" fontId="2" fillId="2" borderId="0" xfId="0" applyFont="1" applyFill="1"/>
    <xf numFmtId="0" fontId="2" fillId="4" borderId="0" xfId="0" applyFont="1" applyFill="1"/>
    <xf numFmtId="0" fontId="2" fillId="6" borderId="0" xfId="0" applyFont="1" applyFill="1" applyAlignment="1"/>
    <xf numFmtId="0" fontId="2" fillId="6" borderId="1" xfId="0" applyFont="1" applyFill="1" applyBorder="1"/>
    <xf numFmtId="0" fontId="0" fillId="4" borderId="0" xfId="0" applyFill="1"/>
    <xf numFmtId="0" fontId="15" fillId="6" borderId="0" xfId="0" applyFont="1" applyFill="1" applyAlignment="1">
      <alignment horizontal="center" vertical="center"/>
    </xf>
    <xf numFmtId="0" fontId="7" fillId="7" borderId="0" xfId="0" applyFont="1" applyFill="1" applyAlignment="1">
      <alignment horizontal="center" vertical="center" wrapText="1"/>
    </xf>
    <xf numFmtId="0" fontId="2" fillId="5" borderId="0" xfId="0" applyFont="1" applyFill="1" applyAlignment="1">
      <alignment horizontal="center" vertical="center"/>
    </xf>
    <xf numFmtId="0" fontId="14" fillId="5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/>
    </xf>
    <xf numFmtId="0" fontId="3" fillId="6" borderId="0" xfId="0" applyFont="1" applyFill="1" applyAlignment="1">
      <alignment horizontal="center" wrapText="1"/>
    </xf>
    <xf numFmtId="0" fontId="3" fillId="6" borderId="0" xfId="0" applyFont="1" applyFill="1" applyAlignment="1">
      <alignment horizontal="center" vertical="center" wrapText="1"/>
    </xf>
    <xf numFmtId="0" fontId="2" fillId="6" borderId="0" xfId="0" applyFont="1" applyFill="1" applyAlignment="1">
      <alignment horizontal="center"/>
    </xf>
    <xf numFmtId="0" fontId="2" fillId="5" borderId="0" xfId="0" applyFont="1" applyFill="1" applyAlignment="1">
      <alignment horizontal="center"/>
    </xf>
    <xf numFmtId="0" fontId="5" fillId="0" borderId="0" xfId="0" applyFont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12" fillId="3" borderId="3" xfId="0" applyFont="1" applyFill="1" applyBorder="1" applyAlignment="1">
      <alignment horizontal="center" vertical="center"/>
    </xf>
    <xf numFmtId="0" fontId="12" fillId="3" borderId="4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2" fillId="3" borderId="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center" vertical="center"/>
    </xf>
    <xf numFmtId="0" fontId="12" fillId="3" borderId="6" xfId="0" applyFont="1" applyFill="1" applyBorder="1" applyAlignment="1">
      <alignment horizontal="center" vertical="center"/>
    </xf>
    <xf numFmtId="0" fontId="12" fillId="3" borderId="7" xfId="0" applyFont="1" applyFill="1" applyBorder="1" applyAlignment="1">
      <alignment horizontal="center" vertical="center"/>
    </xf>
    <xf numFmtId="0" fontId="12" fillId="3" borderId="8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/>
    </xf>
    <xf numFmtId="0" fontId="10" fillId="3" borderId="4" xfId="0" applyFont="1" applyFill="1" applyBorder="1" applyAlignment="1">
      <alignment horizontal="center" vertical="center"/>
    </xf>
    <xf numFmtId="0" fontId="10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3" borderId="8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171450</xdr:colOff>
          <xdr:row>8</xdr:row>
          <xdr:rowOff>57150</xdr:rowOff>
        </xdr:from>
        <xdr:to>
          <xdr:col>7</xdr:col>
          <xdr:colOff>285750</xdr:colOff>
          <xdr:row>10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计算回购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466725</xdr:colOff>
          <xdr:row>8</xdr:row>
          <xdr:rowOff>47625</xdr:rowOff>
        </xdr:from>
        <xdr:to>
          <xdr:col>9</xdr:col>
          <xdr:colOff>533400</xdr:colOff>
          <xdr:row>10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zh-CN" altLang="en-US" sz="18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清理表格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11</xdr:row>
          <xdr:rowOff>47625</xdr:rowOff>
        </xdr:from>
        <xdr:to>
          <xdr:col>13</xdr:col>
          <xdr:colOff>514350</xdr:colOff>
          <xdr:row>13</xdr:row>
          <xdr:rowOff>123825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zh-CN" altLang="en-US" sz="1600" b="0" i="0" u="none" strike="noStrike" baseline="0">
                  <a:solidFill>
                    <a:srgbClr val="000000"/>
                  </a:solidFill>
                  <a:latin typeface="微软雅黑"/>
                  <a:ea typeface="微软雅黑"/>
                </a:rPr>
                <a:t>清理表格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N18"/>
  <sheetViews>
    <sheetView tabSelected="1" workbookViewId="0">
      <selection activeCell="D10" sqref="D10"/>
    </sheetView>
  </sheetViews>
  <sheetFormatPr defaultRowHeight="16.5" x14ac:dyDescent="0.3"/>
  <cols>
    <col min="1" max="16384" width="9" style="1"/>
  </cols>
  <sheetData>
    <row r="1" spans="1:14" x14ac:dyDescent="0.3">
      <c r="A1" s="5"/>
      <c r="B1" s="5" t="s">
        <v>0</v>
      </c>
      <c r="C1" s="5" t="s">
        <v>1</v>
      </c>
      <c r="D1" s="5"/>
    </row>
    <row r="2" spans="1:14" x14ac:dyDescent="0.3">
      <c r="A2" s="5">
        <v>2</v>
      </c>
      <c r="B2" s="5" t="s">
        <v>2</v>
      </c>
      <c r="C2" s="5">
        <v>1060</v>
      </c>
      <c r="D2" s="5" t="e">
        <f>MIN(匹配并输出!C2,匹配并输出!C3,匹配并输出!C4)</f>
        <v>#N/A</v>
      </c>
      <c r="F2" s="11" t="s">
        <v>39</v>
      </c>
      <c r="G2" s="11"/>
      <c r="H2" s="11"/>
      <c r="I2" s="11"/>
      <c r="J2" s="11"/>
    </row>
    <row r="3" spans="1:14" x14ac:dyDescent="0.3">
      <c r="A3" s="5">
        <v>3</v>
      </c>
      <c r="B3" s="5" t="s">
        <v>3</v>
      </c>
      <c r="C3" s="5">
        <v>1089</v>
      </c>
      <c r="D3" s="5" t="e">
        <f>MIN(匹配并输出!C2,匹配并输出!C3,匹配并输出!C5)</f>
        <v>#N/A</v>
      </c>
      <c r="F3" s="11"/>
      <c r="G3" s="11"/>
      <c r="H3" s="11"/>
      <c r="I3" s="11"/>
      <c r="J3" s="11"/>
    </row>
    <row r="4" spans="1:14" ht="16.5" customHeight="1" x14ac:dyDescent="0.3">
      <c r="A4" s="5">
        <v>4</v>
      </c>
      <c r="B4" s="5" t="s">
        <v>4</v>
      </c>
      <c r="C4" s="5">
        <v>1079</v>
      </c>
      <c r="D4" s="5" t="e">
        <f>MIN(匹配并输出!C2,匹配并输出!C4,匹配并输出!C5)</f>
        <v>#N/A</v>
      </c>
      <c r="F4" s="12" t="s">
        <v>40</v>
      </c>
      <c r="G4" s="12"/>
      <c r="H4" s="12"/>
      <c r="I4" s="12"/>
      <c r="J4" s="12"/>
      <c r="L4" s="7" t="s">
        <v>96</v>
      </c>
      <c r="M4" s="7">
        <v>5500</v>
      </c>
      <c r="N4" s="7"/>
    </row>
    <row r="5" spans="1:14" ht="16.5" customHeight="1" x14ac:dyDescent="0.3">
      <c r="A5" s="5">
        <v>5</v>
      </c>
      <c r="B5" s="5" t="s">
        <v>5</v>
      </c>
      <c r="C5" s="5">
        <v>1092</v>
      </c>
      <c r="D5" s="5" t="e">
        <f>MIN(匹配并输出!C3,匹配并输出!C4,匹配并输出!C5)</f>
        <v>#N/A</v>
      </c>
      <c r="F5" s="12"/>
      <c r="G5" s="12"/>
      <c r="H5" s="12"/>
      <c r="I5" s="12"/>
      <c r="J5" s="12"/>
      <c r="L5" s="7"/>
      <c r="M5" s="7"/>
      <c r="N5" s="7"/>
    </row>
    <row r="6" spans="1:14" ht="16.5" customHeight="1" x14ac:dyDescent="0.3">
      <c r="A6" s="5">
        <v>6</v>
      </c>
      <c r="B6" s="5" t="s">
        <v>6</v>
      </c>
      <c r="C6" s="5">
        <v>552</v>
      </c>
      <c r="D6" s="5" t="e">
        <f>MIN(匹配并输出!C2,匹配并输出!C3)</f>
        <v>#N/A</v>
      </c>
      <c r="F6" s="12"/>
      <c r="G6" s="12"/>
      <c r="H6" s="12"/>
      <c r="I6" s="12"/>
      <c r="J6" s="12"/>
      <c r="L6" s="7" t="s">
        <v>97</v>
      </c>
      <c r="M6" s="7">
        <v>7500</v>
      </c>
      <c r="N6" s="7"/>
    </row>
    <row r="7" spans="1:14" ht="16.5" customHeight="1" x14ac:dyDescent="0.3">
      <c r="A7" s="5">
        <v>7</v>
      </c>
      <c r="B7" s="5" t="s">
        <v>10</v>
      </c>
      <c r="C7" s="5">
        <v>544</v>
      </c>
      <c r="D7" s="5" t="e">
        <f>MIN(匹配并输出!C2,匹配并输出!C4)</f>
        <v>#N/A</v>
      </c>
      <c r="F7" s="13" t="s">
        <v>42</v>
      </c>
      <c r="G7" s="13"/>
      <c r="H7" s="13"/>
      <c r="I7" s="13"/>
      <c r="J7" s="13"/>
      <c r="L7" s="7"/>
      <c r="M7" s="7"/>
      <c r="N7" s="7"/>
    </row>
    <row r="8" spans="1:14" ht="16.5" customHeight="1" x14ac:dyDescent="0.3">
      <c r="A8" s="5">
        <v>8</v>
      </c>
      <c r="B8" s="5" t="s">
        <v>9</v>
      </c>
      <c r="C8" s="5">
        <v>552</v>
      </c>
      <c r="D8" s="5" t="e">
        <f>MIN(匹配并输出!C2,匹配并输出!C5)</f>
        <v>#N/A</v>
      </c>
      <c r="F8" s="13"/>
      <c r="G8" s="13"/>
      <c r="H8" s="13"/>
      <c r="I8" s="13"/>
      <c r="J8" s="13"/>
      <c r="L8" s="7" t="s">
        <v>98</v>
      </c>
      <c r="M8" s="7">
        <v>6000</v>
      </c>
      <c r="N8" s="7"/>
    </row>
    <row r="9" spans="1:14" x14ac:dyDescent="0.3">
      <c r="A9" s="5">
        <v>9</v>
      </c>
      <c r="B9" s="5" t="s">
        <v>7</v>
      </c>
      <c r="C9" s="5">
        <v>544</v>
      </c>
      <c r="D9" s="5" t="e">
        <f>MIN(匹配并输出!C3,匹配并输出!C4)</f>
        <v>#N/A</v>
      </c>
      <c r="F9" s="14"/>
      <c r="G9" s="14"/>
      <c r="H9" s="4"/>
      <c r="I9" s="14"/>
      <c r="J9" s="14"/>
      <c r="L9" s="7"/>
      <c r="M9" s="7"/>
      <c r="N9" s="7"/>
    </row>
    <row r="10" spans="1:14" x14ac:dyDescent="0.3">
      <c r="A10" s="5">
        <v>10</v>
      </c>
      <c r="B10" s="5" t="s">
        <v>11</v>
      </c>
      <c r="C10" s="5">
        <v>554</v>
      </c>
      <c r="D10" s="5" t="e">
        <f>MIN(匹配并输出!C3,匹配并输出!C5)</f>
        <v>#N/A</v>
      </c>
      <c r="F10" s="14"/>
      <c r="G10" s="14"/>
      <c r="H10" s="4"/>
      <c r="I10" s="14"/>
      <c r="J10" s="14"/>
      <c r="L10" s="7" t="s">
        <v>99</v>
      </c>
      <c r="M10" s="7">
        <v>6500</v>
      </c>
      <c r="N10" s="7"/>
    </row>
    <row r="11" spans="1:14" x14ac:dyDescent="0.3">
      <c r="A11" s="5">
        <v>11</v>
      </c>
      <c r="B11" s="5" t="s">
        <v>8</v>
      </c>
      <c r="C11" s="5">
        <v>568</v>
      </c>
      <c r="D11" s="5" t="e">
        <f>MIN(匹配并输出!C4,匹配并输出!C5)</f>
        <v>#N/A</v>
      </c>
      <c r="F11" s="4"/>
      <c r="G11" s="4"/>
      <c r="H11" s="4"/>
      <c r="I11" s="4"/>
      <c r="J11" s="4"/>
      <c r="L11" s="7"/>
      <c r="M11" s="7"/>
      <c r="N11" s="7"/>
    </row>
    <row r="12" spans="1:14" x14ac:dyDescent="0.3">
      <c r="A12" s="5">
        <v>12</v>
      </c>
      <c r="B12" s="5" t="s">
        <v>12</v>
      </c>
      <c r="C12" s="5">
        <v>116</v>
      </c>
      <c r="D12" s="5" t="e">
        <f>MIN(匹配并输出!C2)</f>
        <v>#N/A</v>
      </c>
      <c r="F12" s="8" t="s">
        <v>41</v>
      </c>
      <c r="G12" s="8"/>
      <c r="H12" s="8"/>
      <c r="I12" s="8"/>
      <c r="J12" s="8"/>
    </row>
    <row r="13" spans="1:14" x14ac:dyDescent="0.3">
      <c r="A13" s="5">
        <v>13</v>
      </c>
      <c r="B13" s="5" t="s">
        <v>13</v>
      </c>
      <c r="C13" s="5">
        <v>120</v>
      </c>
      <c r="D13" s="5" t="e">
        <f>MIN(匹配并输出!C3)</f>
        <v>#N/A</v>
      </c>
      <c r="F13" s="8"/>
      <c r="G13" s="8"/>
      <c r="H13" s="8"/>
      <c r="I13" s="8"/>
      <c r="J13" s="8"/>
    </row>
    <row r="14" spans="1:14" x14ac:dyDescent="0.3">
      <c r="A14" s="5">
        <v>14</v>
      </c>
      <c r="B14" s="5" t="s">
        <v>15</v>
      </c>
      <c r="C14" s="5">
        <v>117</v>
      </c>
      <c r="D14" s="5" t="e">
        <f>MIN(匹配并输出!C4)</f>
        <v>#N/A</v>
      </c>
      <c r="F14" s="8"/>
      <c r="G14" s="8"/>
      <c r="H14" s="8"/>
      <c r="I14" s="8"/>
      <c r="J14" s="8"/>
    </row>
    <row r="15" spans="1:14" x14ac:dyDescent="0.3">
      <c r="A15" s="5">
        <v>15</v>
      </c>
      <c r="B15" s="5" t="s">
        <v>14</v>
      </c>
      <c r="C15" s="5">
        <v>127</v>
      </c>
      <c r="D15" s="5" t="e">
        <f>MIN(匹配并输出!C5)</f>
        <v>#N/A</v>
      </c>
      <c r="F15" s="8"/>
      <c r="G15" s="8"/>
      <c r="H15" s="8"/>
      <c r="I15" s="8"/>
      <c r="J15" s="8"/>
    </row>
    <row r="16" spans="1:14" x14ac:dyDescent="0.3">
      <c r="F16" s="9" t="s">
        <v>81</v>
      </c>
      <c r="G16" s="9"/>
      <c r="H16" s="9"/>
      <c r="I16" s="9"/>
      <c r="J16" s="9"/>
    </row>
    <row r="17" spans="6:10" x14ac:dyDescent="0.3">
      <c r="F17" s="10" t="s">
        <v>82</v>
      </c>
      <c r="G17" s="10"/>
      <c r="H17" s="10"/>
      <c r="I17" s="10"/>
      <c r="J17" s="10"/>
    </row>
    <row r="18" spans="6:10" x14ac:dyDescent="0.3">
      <c r="F18" s="10"/>
      <c r="G18" s="10"/>
      <c r="H18" s="10"/>
      <c r="I18" s="10"/>
      <c r="J18" s="10"/>
    </row>
  </sheetData>
  <mergeCells count="16">
    <mergeCell ref="F12:J15"/>
    <mergeCell ref="F16:J16"/>
    <mergeCell ref="F17:J18"/>
    <mergeCell ref="F2:J3"/>
    <mergeCell ref="F4:J6"/>
    <mergeCell ref="F7:J8"/>
    <mergeCell ref="F9:G10"/>
    <mergeCell ref="I9:J10"/>
    <mergeCell ref="L4:L5"/>
    <mergeCell ref="L6:L7"/>
    <mergeCell ref="L8:L9"/>
    <mergeCell ref="L10:L11"/>
    <mergeCell ref="M4:N5"/>
    <mergeCell ref="M6:N7"/>
    <mergeCell ref="M8:N9"/>
    <mergeCell ref="M10:N11"/>
  </mergeCells>
  <phoneticPr fontId="1" type="noConversion"/>
  <pageMargins left="0.7" right="0.7" top="0.75" bottom="0.75" header="0.3" footer="0.3"/>
  <pageSetup paperSize="9" orientation="portrait" horizont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HG">
                <anchor moveWithCells="1" sizeWithCells="1">
                  <from>
                    <xdr:col>5</xdr:col>
                    <xdr:colOff>171450</xdr:colOff>
                    <xdr:row>8</xdr:row>
                    <xdr:rowOff>57150</xdr:rowOff>
                  </from>
                  <to>
                    <xdr:col>7</xdr:col>
                    <xdr:colOff>285750</xdr:colOff>
                    <xdr:row>10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清理表格">
                <anchor moveWithCells="1" sizeWithCells="1">
                  <from>
                    <xdr:col>7</xdr:col>
                    <xdr:colOff>466725</xdr:colOff>
                    <xdr:row>8</xdr:row>
                    <xdr:rowOff>47625</xdr:rowOff>
                  </from>
                  <to>
                    <xdr:col>9</xdr:col>
                    <xdr:colOff>533400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A16"/>
  <sheetViews>
    <sheetView workbookViewId="0">
      <pane xSplit="4" topLeftCell="Q1" activePane="topRight" state="frozen"/>
      <selection pane="topRight" activeCell="X1" sqref="X1:X1048576"/>
    </sheetView>
  </sheetViews>
  <sheetFormatPr defaultRowHeight="16.5" x14ac:dyDescent="0.3"/>
  <cols>
    <col min="1" max="16384" width="9" style="1"/>
  </cols>
  <sheetData>
    <row r="1" spans="1:27" x14ac:dyDescent="0.3">
      <c r="A1" s="5"/>
      <c r="B1" s="5"/>
      <c r="C1" s="5"/>
      <c r="D1" s="5"/>
      <c r="W1" s="1" t="s">
        <v>19</v>
      </c>
      <c r="Y1" s="1" t="s">
        <v>21</v>
      </c>
    </row>
    <row r="2" spans="1:27" x14ac:dyDescent="0.3">
      <c r="A2" s="5"/>
      <c r="B2" s="5"/>
      <c r="C2" s="5"/>
      <c r="D2" s="5"/>
      <c r="W2" s="1">
        <f>SUM(E2:V2)*-1+X2</f>
        <v>0</v>
      </c>
      <c r="Y2" s="1">
        <f>W2-X2</f>
        <v>0</v>
      </c>
      <c r="AA2" s="1">
        <f>MIN(D2:D5)</f>
        <v>0</v>
      </c>
    </row>
    <row r="3" spans="1:27" x14ac:dyDescent="0.3">
      <c r="A3" s="5"/>
      <c r="B3" s="5"/>
      <c r="C3" s="5"/>
      <c r="D3" s="5"/>
      <c r="W3" s="1">
        <f t="shared" ref="W3:W15" si="0">SUM(E3:V3)*-1+X3</f>
        <v>0</v>
      </c>
      <c r="Y3" s="1">
        <f t="shared" ref="Y3:Y15" si="1">W3-X3</f>
        <v>0</v>
      </c>
    </row>
    <row r="4" spans="1:27" x14ac:dyDescent="0.3">
      <c r="A4" s="5"/>
      <c r="B4" s="5"/>
      <c r="C4" s="5"/>
      <c r="D4" s="5"/>
      <c r="W4" s="1">
        <f t="shared" si="0"/>
        <v>0</v>
      </c>
      <c r="Y4" s="1">
        <f t="shared" si="1"/>
        <v>0</v>
      </c>
    </row>
    <row r="5" spans="1:27" x14ac:dyDescent="0.3">
      <c r="A5" s="5"/>
      <c r="B5" s="5"/>
      <c r="C5" s="5"/>
      <c r="D5" s="5"/>
      <c r="W5" s="1">
        <f t="shared" si="0"/>
        <v>0</v>
      </c>
      <c r="Y5" s="1">
        <f t="shared" si="1"/>
        <v>0</v>
      </c>
    </row>
    <row r="6" spans="1:27" x14ac:dyDescent="0.3">
      <c r="A6" s="5"/>
      <c r="B6" s="5"/>
      <c r="C6" s="5"/>
      <c r="D6" s="5"/>
      <c r="W6" s="1">
        <f t="shared" si="0"/>
        <v>0</v>
      </c>
      <c r="Y6" s="1">
        <f t="shared" si="1"/>
        <v>0</v>
      </c>
    </row>
    <row r="7" spans="1:27" x14ac:dyDescent="0.3">
      <c r="A7" s="5"/>
      <c r="B7" s="5"/>
      <c r="C7" s="5"/>
      <c r="D7" s="5"/>
      <c r="W7" s="1">
        <f t="shared" si="0"/>
        <v>0</v>
      </c>
      <c r="Y7" s="1">
        <f t="shared" si="1"/>
        <v>0</v>
      </c>
    </row>
    <row r="8" spans="1:27" x14ac:dyDescent="0.3">
      <c r="A8" s="5"/>
      <c r="B8" s="5"/>
      <c r="C8" s="5"/>
      <c r="D8" s="5"/>
      <c r="W8" s="1">
        <f t="shared" si="0"/>
        <v>0</v>
      </c>
      <c r="Y8" s="1">
        <f t="shared" si="1"/>
        <v>0</v>
      </c>
    </row>
    <row r="9" spans="1:27" x14ac:dyDescent="0.3">
      <c r="A9" s="5"/>
      <c r="B9" s="5"/>
      <c r="C9" s="5"/>
      <c r="D9" s="5"/>
      <c r="W9" s="1">
        <f t="shared" si="0"/>
        <v>0</v>
      </c>
      <c r="Y9" s="1">
        <f t="shared" si="1"/>
        <v>0</v>
      </c>
    </row>
    <row r="10" spans="1:27" x14ac:dyDescent="0.3">
      <c r="A10" s="5"/>
      <c r="B10" s="5"/>
      <c r="C10" s="5"/>
      <c r="D10" s="5"/>
      <c r="W10" s="1">
        <f t="shared" si="0"/>
        <v>0</v>
      </c>
      <c r="Y10" s="1">
        <f t="shared" si="1"/>
        <v>0</v>
      </c>
    </row>
    <row r="11" spans="1:27" x14ac:dyDescent="0.3">
      <c r="A11" s="5"/>
      <c r="B11" s="5"/>
      <c r="C11" s="5"/>
      <c r="D11" s="5"/>
      <c r="W11" s="1">
        <f t="shared" si="0"/>
        <v>0</v>
      </c>
      <c r="Y11" s="1">
        <f t="shared" si="1"/>
        <v>0</v>
      </c>
    </row>
    <row r="12" spans="1:27" x14ac:dyDescent="0.3">
      <c r="A12" s="5"/>
      <c r="B12" s="5"/>
      <c r="C12" s="5"/>
      <c r="D12" s="5"/>
      <c r="W12" s="1">
        <f t="shared" si="0"/>
        <v>0</v>
      </c>
      <c r="Y12" s="1">
        <f t="shared" si="1"/>
        <v>0</v>
      </c>
    </row>
    <row r="13" spans="1:27" x14ac:dyDescent="0.3">
      <c r="A13" s="5"/>
      <c r="B13" s="5"/>
      <c r="C13" s="5"/>
      <c r="D13" s="5"/>
      <c r="W13" s="1">
        <f t="shared" si="0"/>
        <v>0</v>
      </c>
      <c r="Y13" s="1">
        <f t="shared" si="1"/>
        <v>0</v>
      </c>
    </row>
    <row r="14" spans="1:27" x14ac:dyDescent="0.3">
      <c r="A14" s="5"/>
      <c r="B14" s="5"/>
      <c r="C14" s="5"/>
      <c r="D14" s="5"/>
      <c r="W14" s="1">
        <f t="shared" si="0"/>
        <v>0</v>
      </c>
      <c r="Y14" s="1">
        <f t="shared" si="1"/>
        <v>0</v>
      </c>
    </row>
    <row r="15" spans="1:27" x14ac:dyDescent="0.3">
      <c r="A15" s="5"/>
      <c r="B15" s="5"/>
      <c r="C15" s="5"/>
      <c r="D15" s="5"/>
      <c r="W15" s="1">
        <f t="shared" si="0"/>
        <v>0</v>
      </c>
      <c r="Y15" s="1">
        <f t="shared" si="1"/>
        <v>0</v>
      </c>
    </row>
    <row r="16" spans="1:27" x14ac:dyDescent="0.3">
      <c r="Z16" s="1">
        <f>INT(MIN(输入!M4:N11)/4)</f>
        <v>1375</v>
      </c>
    </row>
  </sheetData>
  <sortState ref="A1:E18">
    <sortCondition descending="1" ref="C1"/>
  </sortState>
  <phoneticPr fontId="1" type="noConversion"/>
  <pageMargins left="0.7" right="0.7" top="0.75" bottom="0.75" header="0.3" footer="0.3"/>
  <pageSetup paperSize="9" orientation="portrait" horizontalDpi="300" verticalDpi="0" copies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X22"/>
  <sheetViews>
    <sheetView zoomScale="90" zoomScaleNormal="90" workbookViewId="0">
      <selection activeCell="C10" sqref="C10:E13"/>
    </sheetView>
  </sheetViews>
  <sheetFormatPr defaultRowHeight="16.5" x14ac:dyDescent="0.3"/>
  <cols>
    <col min="1" max="2" width="9" style="1"/>
    <col min="3" max="3" width="11.375" style="1" customWidth="1"/>
    <col min="4" max="14" width="7.375" style="1" customWidth="1"/>
    <col min="15" max="15" width="7.5" style="1" customWidth="1"/>
    <col min="16" max="17" width="5.625" style="1" customWidth="1"/>
    <col min="18" max="18" width="0.5" style="2" customWidth="1"/>
    <col min="19" max="20" width="9" style="1"/>
    <col min="21" max="21" width="11.5" style="1" customWidth="1"/>
    <col min="22" max="16384" width="9" style="1"/>
  </cols>
  <sheetData>
    <row r="1" spans="1:24" x14ac:dyDescent="0.3">
      <c r="A1" s="1" t="s">
        <v>16</v>
      </c>
      <c r="B1" s="1" t="s">
        <v>17</v>
      </c>
      <c r="C1" s="1" t="s">
        <v>18</v>
      </c>
      <c r="D1" s="1" t="s">
        <v>23</v>
      </c>
      <c r="E1" s="1" t="s">
        <v>24</v>
      </c>
      <c r="F1" s="1" t="s">
        <v>25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33</v>
      </c>
      <c r="T1" s="1" t="s">
        <v>0</v>
      </c>
      <c r="U1" s="1" t="s">
        <v>20</v>
      </c>
      <c r="V1" s="1" t="s">
        <v>22</v>
      </c>
      <c r="W1" s="1" t="s">
        <v>35</v>
      </c>
      <c r="X1" s="1" t="s">
        <v>34</v>
      </c>
    </row>
    <row r="2" spans="1:24" x14ac:dyDescent="0.3">
      <c r="A2" s="1" t="s">
        <v>12</v>
      </c>
      <c r="B2" s="1">
        <f>输入!M4</f>
        <v>5500</v>
      </c>
      <c r="C2" s="1" t="e">
        <f>SUM(D2:Q2)+B2</f>
        <v>#N/A</v>
      </c>
      <c r="D2" s="1" t="e">
        <f>V2</f>
        <v>#N/A</v>
      </c>
      <c r="E2" s="1" t="e">
        <f>V3</f>
        <v>#N/A</v>
      </c>
      <c r="F2" s="1" t="e">
        <f>V4</f>
        <v>#N/A</v>
      </c>
      <c r="H2" s="1" t="e">
        <f>V6</f>
        <v>#N/A</v>
      </c>
      <c r="I2" s="1" t="e">
        <f>V7</f>
        <v>#N/A</v>
      </c>
      <c r="J2" s="1" t="e">
        <f>V8</f>
        <v>#N/A</v>
      </c>
      <c r="N2" s="1" t="e">
        <f>V12</f>
        <v>#N/A</v>
      </c>
      <c r="S2" s="1">
        <v>2</v>
      </c>
      <c r="T2" s="1" t="s">
        <v>2</v>
      </c>
      <c r="U2" s="1" t="e">
        <f>MATCH(T2,'计算（不要触碰）'!B:B,0)</f>
        <v>#N/A</v>
      </c>
      <c r="V2" s="1" t="e">
        <f>INDEX('计算（不要触碰）'!Y:Y,MATCH(匹配并输出!T2,'计算（不要触碰）'!B:B,0))</f>
        <v>#N/A</v>
      </c>
      <c r="W2" s="1" t="e">
        <f>INDEX('计算（不要触碰）'!C:C,MATCH(匹配并输出!T2,'计算（不要触碰）'!B:B,0))</f>
        <v>#N/A</v>
      </c>
      <c r="X2" s="1" t="e">
        <f>-V2*W2</f>
        <v>#N/A</v>
      </c>
    </row>
    <row r="3" spans="1:24" x14ac:dyDescent="0.3">
      <c r="A3" s="1" t="s">
        <v>13</v>
      </c>
      <c r="B3" s="1">
        <f>输入!M6</f>
        <v>7500</v>
      </c>
      <c r="C3" s="1" t="e">
        <f t="shared" ref="C3:C5" si="0">SUM(D3:Q3)+B3</f>
        <v>#N/A</v>
      </c>
      <c r="D3" s="1" t="e">
        <f>V2</f>
        <v>#N/A</v>
      </c>
      <c r="E3" s="1" t="e">
        <f>V3</f>
        <v>#N/A</v>
      </c>
      <c r="G3" s="1" t="e">
        <f>V5</f>
        <v>#N/A</v>
      </c>
      <c r="H3" s="1" t="e">
        <f>V6</f>
        <v>#N/A</v>
      </c>
      <c r="K3" s="1" t="e">
        <f>V9</f>
        <v>#N/A</v>
      </c>
      <c r="L3" s="1" t="e">
        <f>V10</f>
        <v>#N/A</v>
      </c>
      <c r="N3" s="1" t="e">
        <f t="shared" ref="N3:N4" si="1">V13</f>
        <v>#N/A</v>
      </c>
      <c r="S3" s="1">
        <v>3</v>
      </c>
      <c r="T3" s="1" t="s">
        <v>3</v>
      </c>
      <c r="U3" s="1" t="e">
        <f>MATCH(T3,'计算（不要触碰）'!B:B,0)</f>
        <v>#N/A</v>
      </c>
      <c r="V3" s="1" t="e">
        <f>INDEX('计算（不要触碰）'!Y:Y,MATCH(匹配并输出!T3,'计算（不要触碰）'!B:B,0))</f>
        <v>#N/A</v>
      </c>
      <c r="W3" s="1" t="e">
        <f>INDEX('计算（不要触碰）'!C:C,MATCH(匹配并输出!T3,'计算（不要触碰）'!B:B,0))</f>
        <v>#N/A</v>
      </c>
      <c r="X3" s="1" t="e">
        <f t="shared" ref="X3:X15" si="2">-V3*W3</f>
        <v>#N/A</v>
      </c>
    </row>
    <row r="4" spans="1:24" x14ac:dyDescent="0.3">
      <c r="A4" s="1" t="s">
        <v>15</v>
      </c>
      <c r="B4" s="1">
        <f>输入!M8</f>
        <v>6000</v>
      </c>
      <c r="C4" s="1" t="e">
        <f t="shared" si="0"/>
        <v>#N/A</v>
      </c>
      <c r="D4" s="1" t="e">
        <f>V2</f>
        <v>#N/A</v>
      </c>
      <c r="F4" s="1" t="e">
        <f>V4</f>
        <v>#N/A</v>
      </c>
      <c r="G4" s="1" t="e">
        <f>V5</f>
        <v>#N/A</v>
      </c>
      <c r="I4" s="1" t="e">
        <f>V7</f>
        <v>#N/A</v>
      </c>
      <c r="K4" s="1" t="e">
        <f>V9</f>
        <v>#N/A</v>
      </c>
      <c r="M4" s="1" t="e">
        <f>V11</f>
        <v>#N/A</v>
      </c>
      <c r="N4" s="1" t="e">
        <f t="shared" si="1"/>
        <v>#N/A</v>
      </c>
      <c r="S4" s="1">
        <v>4</v>
      </c>
      <c r="T4" s="1" t="s">
        <v>4</v>
      </c>
      <c r="U4" s="1" t="e">
        <f>MATCH(T4,'计算（不要触碰）'!B:B,0)</f>
        <v>#N/A</v>
      </c>
      <c r="V4" s="1" t="e">
        <f>INDEX('计算（不要触碰）'!Y:Y,MATCH(匹配并输出!T4,'计算（不要触碰）'!B:B,0))</f>
        <v>#N/A</v>
      </c>
      <c r="W4" s="1" t="e">
        <f>INDEX('计算（不要触碰）'!C:C,MATCH(匹配并输出!T4,'计算（不要触碰）'!B:B,0))</f>
        <v>#N/A</v>
      </c>
      <c r="X4" s="1" t="e">
        <f t="shared" si="2"/>
        <v>#N/A</v>
      </c>
    </row>
    <row r="5" spans="1:24" x14ac:dyDescent="0.3">
      <c r="A5" s="1" t="s">
        <v>14</v>
      </c>
      <c r="B5" s="1">
        <f>输入!M10</f>
        <v>6500</v>
      </c>
      <c r="C5" s="1" t="e">
        <f t="shared" si="0"/>
        <v>#N/A</v>
      </c>
      <c r="E5" s="1" t="e">
        <f>V3</f>
        <v>#N/A</v>
      </c>
      <c r="F5" s="1" t="e">
        <f>V4</f>
        <v>#N/A</v>
      </c>
      <c r="G5" s="1" t="e">
        <f>V5</f>
        <v>#N/A</v>
      </c>
      <c r="J5" s="1" t="e">
        <f>V8</f>
        <v>#N/A</v>
      </c>
      <c r="L5" s="1" t="e">
        <f>V10</f>
        <v>#N/A</v>
      </c>
      <c r="M5" s="1" t="e">
        <f>V11</f>
        <v>#N/A</v>
      </c>
      <c r="N5" s="1" t="e">
        <f>V15</f>
        <v>#N/A</v>
      </c>
      <c r="S5" s="1">
        <v>5</v>
      </c>
      <c r="T5" s="1" t="s">
        <v>5</v>
      </c>
      <c r="U5" s="1" t="e">
        <f>MATCH(T5,'计算（不要触碰）'!B:B,0)</f>
        <v>#N/A</v>
      </c>
      <c r="V5" s="1" t="e">
        <f>INDEX('计算（不要触碰）'!Y:Y,MATCH(匹配并输出!T5,'计算（不要触碰）'!B:B,0))</f>
        <v>#N/A</v>
      </c>
      <c r="W5" s="1" t="e">
        <f>INDEX('计算（不要触碰）'!C:C,MATCH(匹配并输出!T5,'计算（不要触碰）'!B:B,0))</f>
        <v>#N/A</v>
      </c>
      <c r="X5" s="1" t="e">
        <f t="shared" si="2"/>
        <v>#N/A</v>
      </c>
    </row>
    <row r="6" spans="1:24" x14ac:dyDescent="0.3">
      <c r="S6" s="1">
        <v>6</v>
      </c>
      <c r="T6" s="1" t="s">
        <v>6</v>
      </c>
      <c r="U6" s="1" t="e">
        <f>MATCH(T6,'计算（不要触碰）'!B:B,0)</f>
        <v>#N/A</v>
      </c>
      <c r="V6" s="1" t="e">
        <f>INDEX('计算（不要触碰）'!Y:Y,MATCH(匹配并输出!T6,'计算（不要触碰）'!B:B,0))</f>
        <v>#N/A</v>
      </c>
      <c r="W6" s="1" t="e">
        <f>INDEX('计算（不要触碰）'!C:C,MATCH(匹配并输出!T6,'计算（不要触碰）'!B:B,0))</f>
        <v>#N/A</v>
      </c>
      <c r="X6" s="1" t="e">
        <f t="shared" si="2"/>
        <v>#N/A</v>
      </c>
    </row>
    <row r="7" spans="1:24" x14ac:dyDescent="0.3">
      <c r="S7" s="1">
        <v>7</v>
      </c>
      <c r="T7" s="1" t="s">
        <v>10</v>
      </c>
      <c r="U7" s="1" t="e">
        <f>MATCH(T7,'计算（不要触碰）'!B:B,0)</f>
        <v>#N/A</v>
      </c>
      <c r="V7" s="1" t="e">
        <f>INDEX('计算（不要触碰）'!Y:Y,MATCH(匹配并输出!T7,'计算（不要触碰）'!B:B,0))</f>
        <v>#N/A</v>
      </c>
      <c r="W7" s="1" t="e">
        <f>INDEX('计算（不要触碰）'!C:C,MATCH(匹配并输出!T7,'计算（不要触碰）'!B:B,0))</f>
        <v>#N/A</v>
      </c>
      <c r="X7" s="1" t="e">
        <f t="shared" si="2"/>
        <v>#N/A</v>
      </c>
    </row>
    <row r="8" spans="1:24" x14ac:dyDescent="0.3">
      <c r="S8" s="1">
        <v>8</v>
      </c>
      <c r="T8" s="1" t="s">
        <v>9</v>
      </c>
      <c r="U8" s="1" t="e">
        <f>MATCH(T8,'计算（不要触碰）'!B:B,0)</f>
        <v>#N/A</v>
      </c>
      <c r="V8" s="1" t="e">
        <f>INDEX('计算（不要触碰）'!Y:Y,MATCH(匹配并输出!T8,'计算（不要触碰）'!B:B,0))</f>
        <v>#N/A</v>
      </c>
      <c r="W8" s="1" t="e">
        <f>INDEX('计算（不要触碰）'!C:C,MATCH(匹配并输出!T8,'计算（不要触碰）'!B:B,0))</f>
        <v>#N/A</v>
      </c>
      <c r="X8" s="1" t="e">
        <f t="shared" si="2"/>
        <v>#N/A</v>
      </c>
    </row>
    <row r="9" spans="1:24" x14ac:dyDescent="0.3">
      <c r="B9" s="3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S9" s="1">
        <v>9</v>
      </c>
      <c r="T9" s="1" t="s">
        <v>7</v>
      </c>
      <c r="U9" s="1" t="e">
        <f>MATCH(T9,'计算（不要触碰）'!B:B,0)</f>
        <v>#N/A</v>
      </c>
      <c r="V9" s="1" t="e">
        <f>INDEX('计算（不要触碰）'!Y:Y,MATCH(匹配并输出!T9,'计算（不要触碰）'!B:B,0))</f>
        <v>#N/A</v>
      </c>
      <c r="W9" s="1" t="e">
        <f>INDEX('计算（不要触碰）'!C:C,MATCH(匹配并输出!T9,'计算（不要触碰）'!B:B,0))</f>
        <v>#N/A</v>
      </c>
      <c r="X9" s="1" t="e">
        <f t="shared" si="2"/>
        <v>#N/A</v>
      </c>
    </row>
    <row r="10" spans="1:24" x14ac:dyDescent="0.3">
      <c r="B10" s="3"/>
      <c r="C10" s="17" t="s">
        <v>36</v>
      </c>
      <c r="D10" s="17"/>
      <c r="E10" s="17"/>
      <c r="F10" s="18" t="e">
        <f>SUM(X2:X15)</f>
        <v>#N/A</v>
      </c>
      <c r="G10" s="18"/>
      <c r="H10" s="18"/>
      <c r="I10" s="18"/>
      <c r="J10" s="18"/>
      <c r="K10" s="18"/>
      <c r="L10" s="3"/>
      <c r="M10" s="3"/>
      <c r="N10" s="3"/>
      <c r="O10" s="3"/>
      <c r="S10" s="1">
        <v>10</v>
      </c>
      <c r="T10" s="1" t="s">
        <v>11</v>
      </c>
      <c r="U10" s="1" t="e">
        <f>MATCH(T10,'计算（不要触碰）'!B:B,0)</f>
        <v>#N/A</v>
      </c>
      <c r="V10" s="1" t="e">
        <f>INDEX('计算（不要触碰）'!Y:Y,MATCH(匹配并输出!T10,'计算（不要触碰）'!B:B,0))</f>
        <v>#N/A</v>
      </c>
      <c r="W10" s="1" t="e">
        <f>INDEX('计算（不要触碰）'!C:C,MATCH(匹配并输出!T10,'计算（不要触碰）'!B:B,0))</f>
        <v>#N/A</v>
      </c>
      <c r="X10" s="1" t="e">
        <f t="shared" si="2"/>
        <v>#N/A</v>
      </c>
    </row>
    <row r="11" spans="1:24" x14ac:dyDescent="0.3">
      <c r="B11" s="3"/>
      <c r="C11" s="17"/>
      <c r="D11" s="17"/>
      <c r="E11" s="17"/>
      <c r="F11" s="18"/>
      <c r="G11" s="18"/>
      <c r="H11" s="18"/>
      <c r="I11" s="18"/>
      <c r="J11" s="18"/>
      <c r="K11" s="18"/>
      <c r="L11" s="3"/>
      <c r="M11" s="3"/>
      <c r="N11" s="3"/>
      <c r="O11" s="3"/>
      <c r="S11" s="1">
        <v>11</v>
      </c>
      <c r="T11" s="1" t="s">
        <v>8</v>
      </c>
      <c r="U11" s="1" t="e">
        <f>MATCH(T11,'计算（不要触碰）'!B:B,0)</f>
        <v>#N/A</v>
      </c>
      <c r="V11" s="1" t="e">
        <f>INDEX('计算（不要触碰）'!Y:Y,MATCH(匹配并输出!T11,'计算（不要触碰）'!B:B,0))</f>
        <v>#N/A</v>
      </c>
      <c r="W11" s="1" t="e">
        <f>INDEX('计算（不要触碰）'!C:C,MATCH(匹配并输出!T11,'计算（不要触碰）'!B:B,0))</f>
        <v>#N/A</v>
      </c>
      <c r="X11" s="1" t="e">
        <f t="shared" si="2"/>
        <v>#N/A</v>
      </c>
    </row>
    <row r="12" spans="1:24" x14ac:dyDescent="0.3">
      <c r="B12" s="3"/>
      <c r="C12" s="17"/>
      <c r="D12" s="17"/>
      <c r="E12" s="17"/>
      <c r="F12" s="18"/>
      <c r="G12" s="18"/>
      <c r="H12" s="18"/>
      <c r="I12" s="18"/>
      <c r="J12" s="18"/>
      <c r="K12" s="18"/>
      <c r="L12" s="3"/>
      <c r="M12" s="15"/>
      <c r="N12" s="15"/>
      <c r="O12" s="3"/>
      <c r="S12" s="1">
        <v>12</v>
      </c>
      <c r="T12" s="1" t="s">
        <v>12</v>
      </c>
      <c r="U12" s="1" t="e">
        <f>MATCH(T12,'计算（不要触碰）'!B:B,0)</f>
        <v>#N/A</v>
      </c>
      <c r="V12" s="1" t="e">
        <f>INDEX('计算（不要触碰）'!Y:Y,MATCH(匹配并输出!T12,'计算（不要触碰）'!B:B,0))</f>
        <v>#N/A</v>
      </c>
      <c r="W12" s="1" t="e">
        <f>INDEX('计算（不要触碰）'!C:C,MATCH(匹配并输出!T12,'计算（不要触碰）'!B:B,0))</f>
        <v>#N/A</v>
      </c>
      <c r="X12" s="1" t="e">
        <f t="shared" si="2"/>
        <v>#N/A</v>
      </c>
    </row>
    <row r="13" spans="1:24" x14ac:dyDescent="0.3">
      <c r="B13" s="3"/>
      <c r="C13" s="17"/>
      <c r="D13" s="17"/>
      <c r="E13" s="17"/>
      <c r="F13" s="18"/>
      <c r="G13" s="18"/>
      <c r="H13" s="18"/>
      <c r="I13" s="18"/>
      <c r="J13" s="18"/>
      <c r="K13" s="18"/>
      <c r="L13" s="3"/>
      <c r="M13" s="15"/>
      <c r="N13" s="15"/>
      <c r="O13" s="3"/>
      <c r="S13" s="1">
        <v>13</v>
      </c>
      <c r="T13" s="1" t="s">
        <v>13</v>
      </c>
      <c r="U13" s="1" t="e">
        <f>MATCH(T13,'计算（不要触碰）'!B:B,0)</f>
        <v>#N/A</v>
      </c>
      <c r="V13" s="1" t="e">
        <f>INDEX('计算（不要触碰）'!Y:Y,MATCH(匹配并输出!T13,'计算（不要触碰）'!B:B,0))</f>
        <v>#N/A</v>
      </c>
      <c r="W13" s="1" t="e">
        <f>INDEX('计算（不要触碰）'!C:C,MATCH(匹配并输出!T13,'计算（不要触碰）'!B:B,0))</f>
        <v>#N/A</v>
      </c>
      <c r="X13" s="1" t="e">
        <f t="shared" si="2"/>
        <v>#N/A</v>
      </c>
    </row>
    <row r="14" spans="1:24" ht="14.25" customHeight="1" x14ac:dyDescent="0.3">
      <c r="B14" s="3"/>
      <c r="C14" s="19" t="s">
        <v>37</v>
      </c>
      <c r="D14" s="19"/>
      <c r="E14" s="19"/>
      <c r="F14" s="20" t="e">
        <f>SUM(X2:X11)</f>
        <v>#N/A</v>
      </c>
      <c r="G14" s="20"/>
      <c r="H14" s="20"/>
      <c r="I14" s="20"/>
      <c r="J14" s="20"/>
      <c r="K14" s="20"/>
      <c r="L14" s="3"/>
      <c r="M14" s="15"/>
      <c r="N14" s="15"/>
      <c r="O14" s="3"/>
      <c r="S14" s="1">
        <v>14</v>
      </c>
      <c r="T14" s="1" t="s">
        <v>15</v>
      </c>
      <c r="U14" s="1" t="e">
        <f>MATCH(T14,'计算（不要触碰）'!B:B,0)</f>
        <v>#N/A</v>
      </c>
      <c r="V14" s="1" t="e">
        <f>INDEX('计算（不要触碰）'!Y:Y,MATCH(匹配并输出!T14,'计算（不要触碰）'!B:B,0))</f>
        <v>#N/A</v>
      </c>
      <c r="W14" s="1" t="e">
        <f>INDEX('计算（不要触碰）'!C:C,MATCH(匹配并输出!T14,'计算（不要触碰）'!B:B,0))</f>
        <v>#N/A</v>
      </c>
      <c r="X14" s="1" t="e">
        <f t="shared" si="2"/>
        <v>#N/A</v>
      </c>
    </row>
    <row r="15" spans="1:24" ht="14.25" customHeight="1" x14ac:dyDescent="0.3">
      <c r="B15" s="3"/>
      <c r="C15" s="19"/>
      <c r="D15" s="19"/>
      <c r="E15" s="19"/>
      <c r="F15" s="20"/>
      <c r="G15" s="20"/>
      <c r="H15" s="20"/>
      <c r="I15" s="20"/>
      <c r="J15" s="20"/>
      <c r="K15" s="20"/>
      <c r="L15" s="3"/>
      <c r="M15" s="3"/>
      <c r="N15" s="3"/>
      <c r="O15" s="3"/>
      <c r="S15" s="1">
        <v>15</v>
      </c>
      <c r="T15" s="1" t="s">
        <v>14</v>
      </c>
      <c r="U15" s="1" t="e">
        <f>MATCH(T15,'计算（不要触碰）'!B:B,0)</f>
        <v>#N/A</v>
      </c>
      <c r="V15" s="1" t="e">
        <f>INDEX('计算（不要触碰）'!Y:Y,MATCH(匹配并输出!T15,'计算（不要触碰）'!B:B,0))</f>
        <v>#N/A</v>
      </c>
      <c r="W15" s="1" t="e">
        <f>INDEX('计算（不要触碰）'!C:C,MATCH(匹配并输出!T15,'计算（不要触碰）'!B:B,0))</f>
        <v>#N/A</v>
      </c>
      <c r="X15" s="1" t="e">
        <f t="shared" si="2"/>
        <v>#N/A</v>
      </c>
    </row>
    <row r="16" spans="1:24" ht="14.25" customHeight="1" x14ac:dyDescent="0.3">
      <c r="B16" s="3"/>
      <c r="C16" s="19"/>
      <c r="D16" s="19"/>
      <c r="E16" s="19"/>
      <c r="F16" s="20"/>
      <c r="G16" s="20"/>
      <c r="H16" s="20"/>
      <c r="I16" s="20"/>
      <c r="J16" s="20"/>
      <c r="K16" s="20"/>
      <c r="L16" s="3"/>
      <c r="M16" s="3"/>
      <c r="N16" s="3"/>
      <c r="O16" s="3"/>
    </row>
    <row r="17" spans="2:15" x14ac:dyDescent="0.3">
      <c r="B17" s="3"/>
      <c r="C17" s="19"/>
      <c r="D17" s="19"/>
      <c r="E17" s="19"/>
      <c r="F17" s="20"/>
      <c r="G17" s="20"/>
      <c r="H17" s="20"/>
      <c r="I17" s="20"/>
      <c r="J17" s="20"/>
      <c r="K17" s="20"/>
      <c r="L17" s="3"/>
      <c r="M17" s="3"/>
      <c r="N17" s="3"/>
      <c r="O17" s="3"/>
    </row>
    <row r="18" spans="2:15" x14ac:dyDescent="0.3">
      <c r="B18" s="3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</row>
    <row r="20" spans="2:15" x14ac:dyDescent="0.3">
      <c r="C20" s="16" t="s">
        <v>38</v>
      </c>
      <c r="D20" s="16"/>
      <c r="E20" s="16"/>
      <c r="F20" s="16"/>
      <c r="G20" s="16"/>
      <c r="H20" s="16"/>
      <c r="I20" s="16"/>
      <c r="J20" s="16"/>
      <c r="K20" s="16"/>
    </row>
    <row r="21" spans="2:15" x14ac:dyDescent="0.3">
      <c r="C21" s="16"/>
      <c r="D21" s="16"/>
      <c r="E21" s="16"/>
      <c r="F21" s="16"/>
      <c r="G21" s="16"/>
      <c r="H21" s="16"/>
      <c r="I21" s="16"/>
      <c r="J21" s="16"/>
      <c r="K21" s="16"/>
    </row>
    <row r="22" spans="2:15" x14ac:dyDescent="0.3">
      <c r="C22" s="16"/>
      <c r="D22" s="16"/>
      <c r="E22" s="16"/>
      <c r="F22" s="16"/>
      <c r="G22" s="16"/>
      <c r="H22" s="16"/>
      <c r="I22" s="16"/>
      <c r="J22" s="16"/>
      <c r="K22" s="16"/>
    </row>
  </sheetData>
  <mergeCells count="6">
    <mergeCell ref="M12:N14"/>
    <mergeCell ref="C20:K22"/>
    <mergeCell ref="C10:E13"/>
    <mergeCell ref="F10:K13"/>
    <mergeCell ref="C14:E17"/>
    <mergeCell ref="F14:K17"/>
  </mergeCells>
  <phoneticPr fontId="1" type="noConversion"/>
  <pageMargins left="0.7" right="0.7" top="0.75" bottom="0.75" header="0.3" footer="0.3"/>
  <pageSetup paperSize="9" orientation="portrait" horizontalDpi="300" verticalDpi="0" copies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清理表格">
                <anchor moveWithCells="1" sizeWithCells="1">
                  <from>
                    <xdr:col>12</xdr:col>
                    <xdr:colOff>38100</xdr:colOff>
                    <xdr:row>11</xdr:row>
                    <xdr:rowOff>47625</xdr:rowOff>
                  </from>
                  <to>
                    <xdr:col>13</xdr:col>
                    <xdr:colOff>514350</xdr:colOff>
                    <xdr:row>13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6"/>
  <sheetViews>
    <sheetView workbookViewId="0">
      <selection activeCell="J14" sqref="J14"/>
    </sheetView>
  </sheetViews>
  <sheetFormatPr defaultRowHeight="14.25" x14ac:dyDescent="0.2"/>
  <cols>
    <col min="6" max="6" width="13.25" customWidth="1"/>
    <col min="7" max="7" width="0.625" style="6" customWidth="1"/>
  </cols>
  <sheetData>
    <row r="1" spans="1:18" x14ac:dyDescent="0.2">
      <c r="A1" t="s">
        <v>44</v>
      </c>
      <c r="B1" t="s">
        <v>45</v>
      </c>
      <c r="C1" t="s">
        <v>46</v>
      </c>
      <c r="D1" t="s">
        <v>47</v>
      </c>
      <c r="E1" t="s">
        <v>79</v>
      </c>
      <c r="F1" t="s">
        <v>88</v>
      </c>
    </row>
    <row r="2" spans="1:18" x14ac:dyDescent="0.2">
      <c r="E2">
        <v>1750000</v>
      </c>
      <c r="F2" t="s">
        <v>90</v>
      </c>
    </row>
    <row r="3" spans="1:18" ht="9" customHeight="1" x14ac:dyDescent="0.2">
      <c r="A3">
        <v>2800</v>
      </c>
      <c r="E3">
        <f>-(2800*200)</f>
        <v>-560000</v>
      </c>
      <c r="F3" t="s">
        <v>92</v>
      </c>
      <c r="H3" s="38" t="s">
        <v>44</v>
      </c>
      <c r="I3" s="38"/>
      <c r="J3" s="38" t="s">
        <v>45</v>
      </c>
      <c r="K3" s="38"/>
      <c r="L3" s="38" t="s">
        <v>46</v>
      </c>
      <c r="M3" s="38"/>
      <c r="N3" s="38" t="s">
        <v>47</v>
      </c>
      <c r="O3" s="38"/>
      <c r="P3" s="30" t="s">
        <v>79</v>
      </c>
      <c r="Q3" s="31"/>
      <c r="R3" s="32"/>
    </row>
    <row r="4" spans="1:18" ht="14.25" customHeight="1" x14ac:dyDescent="0.2">
      <c r="A4">
        <v>-400</v>
      </c>
      <c r="B4">
        <v>400</v>
      </c>
      <c r="F4" t="s">
        <v>93</v>
      </c>
      <c r="H4" s="38"/>
      <c r="I4" s="38"/>
      <c r="J4" s="38"/>
      <c r="K4" s="38"/>
      <c r="L4" s="38"/>
      <c r="M4" s="38"/>
      <c r="N4" s="38"/>
      <c r="O4" s="38"/>
      <c r="P4" s="33"/>
      <c r="Q4" s="34"/>
      <c r="R4" s="35"/>
    </row>
    <row r="5" spans="1:18" ht="14.25" customHeight="1" x14ac:dyDescent="0.2">
      <c r="A5">
        <v>-400</v>
      </c>
      <c r="B5">
        <v>400</v>
      </c>
      <c r="H5" s="37">
        <f>SUM(A:A)</f>
        <v>1000</v>
      </c>
      <c r="I5" s="37"/>
      <c r="J5" s="37">
        <f>SUM(B:B)</f>
        <v>700</v>
      </c>
      <c r="K5" s="37"/>
      <c r="L5" s="37">
        <f>SUM(C:C)</f>
        <v>0</v>
      </c>
      <c r="M5" s="37"/>
      <c r="N5" s="37">
        <f>SUM(D:D)</f>
        <v>0</v>
      </c>
      <c r="O5" s="37"/>
      <c r="P5" s="21">
        <f>SUM(E:E)</f>
        <v>2255900</v>
      </c>
      <c r="Q5" s="22"/>
      <c r="R5" s="23"/>
    </row>
    <row r="6" spans="1:18" ht="14.25" customHeight="1" x14ac:dyDescent="0.2">
      <c r="A6">
        <v>-400</v>
      </c>
      <c r="C6">
        <v>400</v>
      </c>
      <c r="H6" s="37"/>
      <c r="I6" s="37"/>
      <c r="J6" s="37"/>
      <c r="K6" s="37"/>
      <c r="L6" s="37"/>
      <c r="M6" s="37"/>
      <c r="N6" s="37"/>
      <c r="O6" s="37"/>
      <c r="P6" s="24"/>
      <c r="Q6" s="25"/>
      <c r="R6" s="26"/>
    </row>
    <row r="7" spans="1:18" ht="14.25" customHeight="1" x14ac:dyDescent="0.2">
      <c r="H7" s="37"/>
      <c r="I7" s="37"/>
      <c r="J7" s="37"/>
      <c r="K7" s="37"/>
      <c r="L7" s="37"/>
      <c r="M7" s="37"/>
      <c r="N7" s="37"/>
      <c r="O7" s="37"/>
      <c r="P7" s="27"/>
      <c r="Q7" s="28"/>
      <c r="R7" s="29"/>
    </row>
    <row r="8" spans="1:18" ht="13.5" customHeight="1" x14ac:dyDescent="0.2">
      <c r="A8">
        <v>-400</v>
      </c>
      <c r="D8">
        <v>400</v>
      </c>
    </row>
    <row r="9" spans="1:18" x14ac:dyDescent="0.2">
      <c r="A9">
        <v>-300</v>
      </c>
      <c r="D9">
        <v>300</v>
      </c>
      <c r="M9" s="36" t="s">
        <v>80</v>
      </c>
      <c r="N9" s="36"/>
      <c r="O9" s="36"/>
      <c r="P9" s="36"/>
      <c r="Q9" s="36"/>
      <c r="R9" s="36"/>
    </row>
    <row r="10" spans="1:18" x14ac:dyDescent="0.2">
      <c r="A10">
        <v>-300</v>
      </c>
      <c r="C10">
        <v>300</v>
      </c>
      <c r="M10" s="36"/>
      <c r="N10" s="36"/>
      <c r="O10" s="36"/>
      <c r="P10" s="36"/>
      <c r="Q10" s="36"/>
      <c r="R10" s="36"/>
    </row>
    <row r="11" spans="1:18" x14ac:dyDescent="0.2">
      <c r="A11">
        <v>100</v>
      </c>
      <c r="B11">
        <v>-100</v>
      </c>
    </row>
    <row r="12" spans="1:18" x14ac:dyDescent="0.2">
      <c r="A12">
        <v>2600</v>
      </c>
      <c r="B12">
        <v>400</v>
      </c>
      <c r="D12">
        <v>400</v>
      </c>
      <c r="E12">
        <v>-560000</v>
      </c>
    </row>
    <row r="13" spans="1:18" x14ac:dyDescent="0.2">
      <c r="A13">
        <v>-400</v>
      </c>
      <c r="C13">
        <v>400</v>
      </c>
    </row>
    <row r="14" spans="1:18" x14ac:dyDescent="0.2">
      <c r="A14">
        <v>-300</v>
      </c>
      <c r="D14">
        <v>300</v>
      </c>
    </row>
    <row r="15" spans="1:18" x14ac:dyDescent="0.2">
      <c r="A15">
        <v>-100</v>
      </c>
      <c r="D15">
        <v>100</v>
      </c>
    </row>
    <row r="16" spans="1:18" x14ac:dyDescent="0.2">
      <c r="A16">
        <v>-1500</v>
      </c>
      <c r="B16">
        <v>-400</v>
      </c>
      <c r="C16">
        <v>-1100</v>
      </c>
      <c r="D16">
        <v>-1500</v>
      </c>
      <c r="E16">
        <v>1625900</v>
      </c>
      <c r="F16" t="s">
        <v>94</v>
      </c>
    </row>
  </sheetData>
  <mergeCells count="11">
    <mergeCell ref="P5:R7"/>
    <mergeCell ref="P3:R4"/>
    <mergeCell ref="M9:R10"/>
    <mergeCell ref="H5:I7"/>
    <mergeCell ref="J5:K7"/>
    <mergeCell ref="L5:M7"/>
    <mergeCell ref="N5:O7"/>
    <mergeCell ref="H3:I4"/>
    <mergeCell ref="J3:K4"/>
    <mergeCell ref="L3:M4"/>
    <mergeCell ref="N3:O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4"/>
  <sheetViews>
    <sheetView workbookViewId="0">
      <selection activeCell="E15" sqref="E15"/>
    </sheetView>
  </sheetViews>
  <sheetFormatPr defaultRowHeight="14.25" x14ac:dyDescent="0.2"/>
  <cols>
    <col min="6" max="6" width="13.25" customWidth="1"/>
    <col min="7" max="7" width="0.625" style="6" customWidth="1"/>
  </cols>
  <sheetData>
    <row r="1" spans="1:18" x14ac:dyDescent="0.2">
      <c r="A1" t="s">
        <v>44</v>
      </c>
      <c r="B1" t="s">
        <v>45</v>
      </c>
      <c r="C1" t="s">
        <v>46</v>
      </c>
      <c r="D1" t="s">
        <v>47</v>
      </c>
      <c r="E1" t="s">
        <v>79</v>
      </c>
      <c r="F1" t="s">
        <v>88</v>
      </c>
    </row>
    <row r="2" spans="1:18" x14ac:dyDescent="0.2">
      <c r="A2">
        <f>记录器财年1!H5</f>
        <v>1000</v>
      </c>
      <c r="B2">
        <f>记录器财年1!J5</f>
        <v>700</v>
      </c>
      <c r="C2">
        <f>记录器财年1!L5</f>
        <v>0</v>
      </c>
      <c r="D2">
        <f>记录器财年1!N5</f>
        <v>0</v>
      </c>
      <c r="E2">
        <f>记录器财年1!P5</f>
        <v>2255900</v>
      </c>
      <c r="F2" t="s">
        <v>89</v>
      </c>
    </row>
    <row r="3" spans="1:18" x14ac:dyDescent="0.2">
      <c r="A3">
        <v>1200</v>
      </c>
      <c r="B3">
        <v>800</v>
      </c>
      <c r="D3">
        <v>800</v>
      </c>
      <c r="E3">
        <v>-560000</v>
      </c>
      <c r="F3" t="s">
        <v>92</v>
      </c>
      <c r="H3" s="38" t="s">
        <v>44</v>
      </c>
      <c r="I3" s="38"/>
      <c r="J3" s="38" t="s">
        <v>45</v>
      </c>
      <c r="K3" s="38"/>
      <c r="L3" s="38" t="s">
        <v>46</v>
      </c>
      <c r="M3" s="38"/>
      <c r="N3" s="38" t="s">
        <v>47</v>
      </c>
      <c r="O3" s="38"/>
      <c r="P3" s="30" t="s">
        <v>79</v>
      </c>
      <c r="Q3" s="31"/>
      <c r="R3" s="32"/>
    </row>
    <row r="4" spans="1:18" ht="14.25" customHeight="1" x14ac:dyDescent="0.2">
      <c r="A4">
        <v>-700</v>
      </c>
      <c r="H4" s="38"/>
      <c r="I4" s="38"/>
      <c r="J4" s="38"/>
      <c r="K4" s="38"/>
      <c r="L4" s="38"/>
      <c r="M4" s="38"/>
      <c r="N4" s="38"/>
      <c r="O4" s="38"/>
      <c r="P4" s="33"/>
      <c r="Q4" s="34"/>
      <c r="R4" s="35"/>
    </row>
    <row r="5" spans="1:18" ht="14.25" customHeight="1" x14ac:dyDescent="0.2">
      <c r="C5">
        <v>700</v>
      </c>
      <c r="H5" s="37">
        <f>SUM(A:A)</f>
        <v>75</v>
      </c>
      <c r="I5" s="37"/>
      <c r="J5" s="37">
        <f>SUM(B:B)</f>
        <v>300</v>
      </c>
      <c r="K5" s="37"/>
      <c r="L5" s="37">
        <f>SUM(C:C)</f>
        <v>52</v>
      </c>
      <c r="M5" s="37"/>
      <c r="N5" s="37">
        <f>SUM(D:D)</f>
        <v>0</v>
      </c>
      <c r="O5" s="37"/>
      <c r="P5" s="21">
        <f>SUM(E:E)</f>
        <v>3057694</v>
      </c>
      <c r="Q5" s="22"/>
      <c r="R5" s="23"/>
    </row>
    <row r="6" spans="1:18" ht="14.25" customHeight="1" x14ac:dyDescent="0.2">
      <c r="A6">
        <v>-300</v>
      </c>
      <c r="D6">
        <v>300</v>
      </c>
      <c r="H6" s="37"/>
      <c r="I6" s="37"/>
      <c r="J6" s="37"/>
      <c r="K6" s="37"/>
      <c r="L6" s="37"/>
      <c r="M6" s="37"/>
      <c r="N6" s="37"/>
      <c r="O6" s="37"/>
      <c r="P6" s="24"/>
      <c r="Q6" s="25"/>
      <c r="R6" s="26"/>
    </row>
    <row r="7" spans="1:18" ht="14.25" customHeight="1" x14ac:dyDescent="0.2">
      <c r="C7">
        <v>250</v>
      </c>
      <c r="E7">
        <v>-55000</v>
      </c>
      <c r="H7" s="37"/>
      <c r="I7" s="37"/>
      <c r="J7" s="37"/>
      <c r="K7" s="37"/>
      <c r="L7" s="37"/>
      <c r="M7" s="37"/>
      <c r="N7" s="37"/>
      <c r="O7" s="37"/>
      <c r="P7" s="27"/>
      <c r="Q7" s="28"/>
      <c r="R7" s="29"/>
    </row>
    <row r="8" spans="1:18" ht="15.75" customHeight="1" x14ac:dyDescent="0.2">
      <c r="C8">
        <v>100</v>
      </c>
      <c r="E8">
        <v>-400000</v>
      </c>
      <c r="F8" t="s">
        <v>95</v>
      </c>
    </row>
    <row r="9" spans="1:18" x14ac:dyDescent="0.2">
      <c r="B9">
        <v>-100</v>
      </c>
      <c r="M9" s="36" t="s">
        <v>80</v>
      </c>
      <c r="N9" s="36"/>
      <c r="O9" s="36"/>
      <c r="P9" s="36"/>
      <c r="Q9" s="36"/>
      <c r="R9" s="36"/>
    </row>
    <row r="10" spans="1:18" x14ac:dyDescent="0.2">
      <c r="A10">
        <v>-25</v>
      </c>
      <c r="C10">
        <v>100</v>
      </c>
      <c r="E10">
        <v>150000</v>
      </c>
      <c r="M10" s="36"/>
      <c r="N10" s="36"/>
      <c r="O10" s="36"/>
      <c r="P10" s="36"/>
      <c r="Q10" s="36"/>
      <c r="R10" s="36"/>
    </row>
    <row r="11" spans="1:18" x14ac:dyDescent="0.2">
      <c r="A11">
        <v>-1100</v>
      </c>
      <c r="B11">
        <v>-1100</v>
      </c>
      <c r="C11">
        <f t="shared" ref="C11" si="0">-366*3</f>
        <v>-1098</v>
      </c>
      <c r="D11">
        <v>-1100</v>
      </c>
      <c r="E11">
        <v>1453704</v>
      </c>
    </row>
    <row r="12" spans="1:18" x14ac:dyDescent="0.2">
      <c r="E12">
        <v>240960</v>
      </c>
    </row>
    <row r="13" spans="1:18" x14ac:dyDescent="0.2">
      <c r="E13">
        <v>-58870</v>
      </c>
    </row>
    <row r="14" spans="1:18" x14ac:dyDescent="0.2">
      <c r="E14">
        <v>31000</v>
      </c>
    </row>
  </sheetData>
  <mergeCells count="11">
    <mergeCell ref="M9:R10"/>
    <mergeCell ref="H3:I4"/>
    <mergeCell ref="J3:K4"/>
    <mergeCell ref="L3:M4"/>
    <mergeCell ref="N3:O4"/>
    <mergeCell ref="P3:R4"/>
    <mergeCell ref="H5:I7"/>
    <mergeCell ref="J5:K7"/>
    <mergeCell ref="L5:M7"/>
    <mergeCell ref="N5:O7"/>
    <mergeCell ref="P5:R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"/>
  <sheetViews>
    <sheetView workbookViewId="0">
      <selection activeCell="E6" sqref="E6"/>
    </sheetView>
  </sheetViews>
  <sheetFormatPr defaultRowHeight="14.25" x14ac:dyDescent="0.2"/>
  <cols>
    <col min="6" max="6" width="13.25" customWidth="1"/>
    <col min="7" max="7" width="0.625" style="6" customWidth="1"/>
    <col min="9" max="9" width="10.5" bestFit="1" customWidth="1"/>
  </cols>
  <sheetData>
    <row r="1" spans="1:18" x14ac:dyDescent="0.2">
      <c r="A1" t="s">
        <v>44</v>
      </c>
      <c r="B1" t="s">
        <v>45</v>
      </c>
      <c r="C1" t="s">
        <v>46</v>
      </c>
      <c r="D1" t="s">
        <v>47</v>
      </c>
      <c r="E1" t="s">
        <v>79</v>
      </c>
      <c r="F1" t="s">
        <v>88</v>
      </c>
    </row>
    <row r="2" spans="1:18" x14ac:dyDescent="0.2">
      <c r="A2">
        <f>记录器财年2!H5</f>
        <v>75</v>
      </c>
      <c r="B2">
        <f>记录器财年2!B2</f>
        <v>700</v>
      </c>
      <c r="C2">
        <f>记录器财年2!L5</f>
        <v>52</v>
      </c>
      <c r="D2">
        <f>记录器财年2!N5</f>
        <v>0</v>
      </c>
      <c r="E2">
        <f>记录器财年2!P5</f>
        <v>3057694</v>
      </c>
      <c r="F2" t="s">
        <v>89</v>
      </c>
    </row>
    <row r="3" spans="1:18" x14ac:dyDescent="0.2">
      <c r="A3">
        <v>1200</v>
      </c>
      <c r="B3">
        <v>800</v>
      </c>
      <c r="D3">
        <v>800</v>
      </c>
      <c r="E3">
        <v>-560000</v>
      </c>
      <c r="H3" s="38" t="s">
        <v>44</v>
      </c>
      <c r="I3" s="38"/>
      <c r="J3" s="38" t="s">
        <v>45</v>
      </c>
      <c r="K3" s="38"/>
      <c r="L3" s="38" t="s">
        <v>46</v>
      </c>
      <c r="M3" s="38"/>
      <c r="N3" s="38" t="s">
        <v>47</v>
      </c>
      <c r="O3" s="38"/>
      <c r="P3" s="30" t="s">
        <v>79</v>
      </c>
      <c r="Q3" s="31"/>
      <c r="R3" s="32"/>
    </row>
    <row r="4" spans="1:18" ht="14.25" customHeight="1" x14ac:dyDescent="0.2">
      <c r="B4">
        <v>-400</v>
      </c>
      <c r="D4">
        <v>400</v>
      </c>
      <c r="H4" s="38"/>
      <c r="I4" s="38"/>
      <c r="J4" s="38"/>
      <c r="K4" s="38"/>
      <c r="L4" s="38"/>
      <c r="M4" s="38"/>
      <c r="N4" s="38"/>
      <c r="O4" s="38"/>
      <c r="P4" s="33"/>
      <c r="Q4" s="34"/>
      <c r="R4" s="35"/>
    </row>
    <row r="5" spans="1:18" ht="14.25" customHeight="1" x14ac:dyDescent="0.2">
      <c r="B5">
        <v>200</v>
      </c>
      <c r="E5">
        <v>-46000</v>
      </c>
      <c r="H5" s="37">
        <f>SUM(A:A)</f>
        <v>1275</v>
      </c>
      <c r="I5" s="37"/>
      <c r="J5" s="37">
        <f>SUM(B:B)</f>
        <v>1300</v>
      </c>
      <c r="K5" s="37"/>
      <c r="L5" s="37">
        <f>SUM(C:C)</f>
        <v>52</v>
      </c>
      <c r="M5" s="37"/>
      <c r="N5" s="37">
        <f>SUM(D:D)</f>
        <v>1200</v>
      </c>
      <c r="O5" s="37"/>
      <c r="P5" s="21">
        <f>SUM(E:E)</f>
        <v>6089770.75</v>
      </c>
      <c r="Q5" s="22"/>
      <c r="R5" s="23"/>
    </row>
    <row r="6" spans="1:18" ht="14.25" customHeight="1" x14ac:dyDescent="0.2">
      <c r="H6" s="37"/>
      <c r="I6" s="37"/>
      <c r="J6" s="37"/>
      <c r="K6" s="37"/>
      <c r="L6" s="37"/>
      <c r="M6" s="37"/>
      <c r="N6" s="37"/>
      <c r="O6" s="37"/>
      <c r="P6" s="24"/>
      <c r="Q6" s="25"/>
      <c r="R6" s="26"/>
    </row>
    <row r="7" spans="1:18" ht="14.25" customHeight="1" x14ac:dyDescent="0.2">
      <c r="E7">
        <v>1809405</v>
      </c>
      <c r="H7" s="37"/>
      <c r="I7" s="37"/>
      <c r="J7" s="37"/>
      <c r="K7" s="37"/>
      <c r="L7" s="37"/>
      <c r="M7" s="37"/>
      <c r="N7" s="37"/>
      <c r="O7" s="37"/>
      <c r="P7" s="27"/>
      <c r="Q7" s="28"/>
      <c r="R7" s="29"/>
    </row>
    <row r="8" spans="1:18" ht="18" customHeight="1" x14ac:dyDescent="0.2">
      <c r="E8">
        <f>-1809405*0.05</f>
        <v>-90470.25</v>
      </c>
    </row>
    <row r="9" spans="1:18" x14ac:dyDescent="0.2">
      <c r="E9">
        <v>1714680</v>
      </c>
      <c r="M9" s="36" t="s">
        <v>80</v>
      </c>
      <c r="N9" s="36"/>
      <c r="O9" s="36"/>
      <c r="P9" s="36"/>
      <c r="Q9" s="36"/>
      <c r="R9" s="36"/>
    </row>
    <row r="10" spans="1:18" x14ac:dyDescent="0.2">
      <c r="E10">
        <v>204462</v>
      </c>
      <c r="M10" s="36"/>
      <c r="N10" s="36"/>
      <c r="O10" s="36"/>
      <c r="P10" s="36"/>
      <c r="Q10" s="36"/>
      <c r="R10" s="36"/>
    </row>
  </sheetData>
  <mergeCells count="11">
    <mergeCell ref="M9:R10"/>
    <mergeCell ref="H3:I4"/>
    <mergeCell ref="J3:K4"/>
    <mergeCell ref="L3:M4"/>
    <mergeCell ref="N3:O4"/>
    <mergeCell ref="P3:R4"/>
    <mergeCell ref="H5:I7"/>
    <mergeCell ref="J5:K7"/>
    <mergeCell ref="L5:M7"/>
    <mergeCell ref="N5:O7"/>
    <mergeCell ref="P5:R7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10"/>
  <sheetViews>
    <sheetView workbookViewId="0">
      <selection activeCell="L13" sqref="L13"/>
    </sheetView>
  </sheetViews>
  <sheetFormatPr defaultRowHeight="14.25" x14ac:dyDescent="0.2"/>
  <cols>
    <col min="6" max="6" width="13.25" customWidth="1"/>
    <col min="7" max="7" width="0.625" style="6" customWidth="1"/>
  </cols>
  <sheetData>
    <row r="1" spans="1:18" x14ac:dyDescent="0.2">
      <c r="A1" t="s">
        <v>44</v>
      </c>
      <c r="B1" t="s">
        <v>45</v>
      </c>
      <c r="C1" t="s">
        <v>46</v>
      </c>
      <c r="D1" t="s">
        <v>47</v>
      </c>
      <c r="E1" t="s">
        <v>79</v>
      </c>
      <c r="F1" t="s">
        <v>88</v>
      </c>
    </row>
    <row r="2" spans="1:18" x14ac:dyDescent="0.2">
      <c r="A2">
        <f>记录器财年3!H5</f>
        <v>1275</v>
      </c>
      <c r="B2">
        <f>记录器财年3!J5</f>
        <v>1300</v>
      </c>
      <c r="C2">
        <f>记录器财年3!L5</f>
        <v>52</v>
      </c>
      <c r="D2">
        <f>记录器财年3!N5</f>
        <v>1200</v>
      </c>
      <c r="E2">
        <f>记录器财年3!P5</f>
        <v>6089770.75</v>
      </c>
    </row>
    <row r="3" spans="1:18" x14ac:dyDescent="0.2">
      <c r="H3" s="38" t="s">
        <v>44</v>
      </c>
      <c r="I3" s="38"/>
      <c r="J3" s="38" t="s">
        <v>45</v>
      </c>
      <c r="K3" s="38"/>
      <c r="L3" s="38" t="s">
        <v>46</v>
      </c>
      <c r="M3" s="38"/>
      <c r="N3" s="38" t="s">
        <v>47</v>
      </c>
      <c r="O3" s="38"/>
      <c r="P3" s="30" t="s">
        <v>79</v>
      </c>
      <c r="Q3" s="31"/>
      <c r="R3" s="32"/>
    </row>
    <row r="4" spans="1:18" ht="14.25" customHeight="1" x14ac:dyDescent="0.2">
      <c r="H4" s="38"/>
      <c r="I4" s="38"/>
      <c r="J4" s="38"/>
      <c r="K4" s="38"/>
      <c r="L4" s="38"/>
      <c r="M4" s="38"/>
      <c r="N4" s="38"/>
      <c r="O4" s="38"/>
      <c r="P4" s="33"/>
      <c r="Q4" s="34"/>
      <c r="R4" s="35"/>
    </row>
    <row r="5" spans="1:18" ht="14.25" customHeight="1" x14ac:dyDescent="0.2">
      <c r="H5" s="37">
        <f>SUM(A:A)</f>
        <v>1275</v>
      </c>
      <c r="I5" s="37"/>
      <c r="J5" s="37">
        <f>SUM(B:B)</f>
        <v>1300</v>
      </c>
      <c r="K5" s="37"/>
      <c r="L5" s="37">
        <f>SUM(C:C)</f>
        <v>52</v>
      </c>
      <c r="M5" s="37"/>
      <c r="N5" s="37">
        <f>SUM(D:D)</f>
        <v>1200</v>
      </c>
      <c r="O5" s="37"/>
      <c r="P5" s="21">
        <f>SUM(E:E)</f>
        <v>6089770.75</v>
      </c>
      <c r="Q5" s="22"/>
      <c r="R5" s="23"/>
    </row>
    <row r="6" spans="1:18" ht="14.25" customHeight="1" x14ac:dyDescent="0.2">
      <c r="H6" s="37"/>
      <c r="I6" s="37"/>
      <c r="J6" s="37"/>
      <c r="K6" s="37"/>
      <c r="L6" s="37"/>
      <c r="M6" s="37"/>
      <c r="N6" s="37"/>
      <c r="O6" s="37"/>
      <c r="P6" s="24"/>
      <c r="Q6" s="25"/>
      <c r="R6" s="26"/>
    </row>
    <row r="7" spans="1:18" ht="14.25" customHeight="1" x14ac:dyDescent="0.2">
      <c r="H7" s="37"/>
      <c r="I7" s="37"/>
      <c r="J7" s="37"/>
      <c r="K7" s="37"/>
      <c r="L7" s="37"/>
      <c r="M7" s="37"/>
      <c r="N7" s="37"/>
      <c r="O7" s="37"/>
      <c r="P7" s="27"/>
      <c r="Q7" s="28"/>
      <c r="R7" s="29"/>
    </row>
    <row r="8" spans="1:18" ht="30" customHeight="1" x14ac:dyDescent="0.2"/>
    <row r="9" spans="1:18" x14ac:dyDescent="0.2">
      <c r="M9" s="36" t="s">
        <v>80</v>
      </c>
      <c r="N9" s="36"/>
      <c r="O9" s="36"/>
      <c r="P9" s="36"/>
      <c r="Q9" s="36"/>
      <c r="R9" s="36"/>
    </row>
    <row r="10" spans="1:18" x14ac:dyDescent="0.2">
      <c r="K10">
        <f>4500/4</f>
        <v>1125</v>
      </c>
      <c r="M10" s="36"/>
      <c r="N10" s="36"/>
      <c r="O10" s="36"/>
      <c r="P10" s="36"/>
      <c r="Q10" s="36"/>
      <c r="R10" s="36"/>
    </row>
  </sheetData>
  <mergeCells count="11">
    <mergeCell ref="M9:R10"/>
    <mergeCell ref="H3:I4"/>
    <mergeCell ref="J3:K4"/>
    <mergeCell ref="L3:M4"/>
    <mergeCell ref="N3:O4"/>
    <mergeCell ref="P3:R4"/>
    <mergeCell ref="H5:I7"/>
    <mergeCell ref="J5:K7"/>
    <mergeCell ref="L5:M7"/>
    <mergeCell ref="N5:O7"/>
    <mergeCell ref="P5:R7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5"/>
  <sheetViews>
    <sheetView topLeftCell="A4" workbookViewId="0">
      <selection activeCell="B26" sqref="B26"/>
    </sheetView>
  </sheetViews>
  <sheetFormatPr defaultRowHeight="14.25" x14ac:dyDescent="0.2"/>
  <cols>
    <col min="9" max="9" width="19.25" customWidth="1"/>
  </cols>
  <sheetData>
    <row r="1" spans="1:11" x14ac:dyDescent="0.2">
      <c r="A1" t="s">
        <v>50</v>
      </c>
    </row>
    <row r="2" spans="1:11" x14ac:dyDescent="0.2">
      <c r="A2" t="s">
        <v>43</v>
      </c>
    </row>
    <row r="3" spans="1:11" x14ac:dyDescent="0.2">
      <c r="B3" t="s">
        <v>48</v>
      </c>
      <c r="C3" t="s">
        <v>49</v>
      </c>
    </row>
    <row r="4" spans="1:11" x14ac:dyDescent="0.2">
      <c r="A4" t="s">
        <v>44</v>
      </c>
      <c r="B4">
        <f>1500*5</f>
        <v>7500</v>
      </c>
    </row>
    <row r="5" spans="1:11" x14ac:dyDescent="0.2">
      <c r="A5" t="s">
        <v>45</v>
      </c>
      <c r="B5">
        <f t="shared" ref="B5:B6" si="0">1500*5</f>
        <v>7500</v>
      </c>
    </row>
    <row r="6" spans="1:11" x14ac:dyDescent="0.2">
      <c r="A6" t="s">
        <v>46</v>
      </c>
      <c r="B6">
        <f t="shared" si="0"/>
        <v>7500</v>
      </c>
    </row>
    <row r="7" spans="1:11" x14ac:dyDescent="0.2">
      <c r="A7" t="s">
        <v>47</v>
      </c>
      <c r="B7">
        <v>7500</v>
      </c>
    </row>
    <row r="8" spans="1:11" x14ac:dyDescent="0.2">
      <c r="H8" t="s">
        <v>69</v>
      </c>
      <c r="I8">
        <f>B4/B25*(14000/7500)</f>
        <v>116.66666666666667</v>
      </c>
    </row>
    <row r="9" spans="1:11" x14ac:dyDescent="0.2">
      <c r="A9" t="s">
        <v>51</v>
      </c>
      <c r="B9">
        <v>1080</v>
      </c>
      <c r="H9" t="s">
        <v>71</v>
      </c>
      <c r="I9">
        <f>B24/K9</f>
        <v>8.7603703703703708</v>
      </c>
      <c r="K9">
        <f>2/(I8*(1/B4+1/B5))</f>
        <v>64.285714285714278</v>
      </c>
    </row>
    <row r="10" spans="1:11" x14ac:dyDescent="0.2">
      <c r="A10" t="s">
        <v>52</v>
      </c>
      <c r="B10">
        <v>1075</v>
      </c>
      <c r="H10" t="s">
        <v>73</v>
      </c>
      <c r="I10">
        <f>B23/K9</f>
        <v>16.766944444444448</v>
      </c>
    </row>
    <row r="11" spans="1:11" x14ac:dyDescent="0.2">
      <c r="A11" t="s">
        <v>53</v>
      </c>
      <c r="B11">
        <v>1079</v>
      </c>
      <c r="H11" t="s">
        <v>76</v>
      </c>
      <c r="I11">
        <f>B25*B4*(14000/7500)</f>
        <v>1680000</v>
      </c>
      <c r="J11">
        <v>900000</v>
      </c>
    </row>
    <row r="12" spans="1:11" x14ac:dyDescent="0.2">
      <c r="A12" t="s">
        <v>54</v>
      </c>
      <c r="B12">
        <v>1077.5</v>
      </c>
    </row>
    <row r="13" spans="1:11" x14ac:dyDescent="0.2">
      <c r="A13" t="s">
        <v>55</v>
      </c>
      <c r="B13">
        <v>563</v>
      </c>
    </row>
    <row r="14" spans="1:11" x14ac:dyDescent="0.2">
      <c r="A14" t="s">
        <v>56</v>
      </c>
      <c r="B14">
        <v>559</v>
      </c>
    </row>
    <row r="15" spans="1:11" x14ac:dyDescent="0.2">
      <c r="A15" t="s">
        <v>57</v>
      </c>
      <c r="B15">
        <v>562</v>
      </c>
    </row>
    <row r="16" spans="1:11" x14ac:dyDescent="0.2">
      <c r="A16" t="s">
        <v>58</v>
      </c>
      <c r="B16">
        <v>578</v>
      </c>
    </row>
    <row r="17" spans="1:2" x14ac:dyDescent="0.2">
      <c r="A17" t="s">
        <v>59</v>
      </c>
      <c r="B17">
        <v>561</v>
      </c>
    </row>
    <row r="18" spans="1:2" x14ac:dyDescent="0.2">
      <c r="A18" t="s">
        <v>60</v>
      </c>
      <c r="B18">
        <v>556</v>
      </c>
    </row>
    <row r="19" spans="1:2" x14ac:dyDescent="0.2">
      <c r="A19" t="s">
        <v>61</v>
      </c>
      <c r="B19">
        <v>121</v>
      </c>
    </row>
    <row r="20" spans="1:2" x14ac:dyDescent="0.2">
      <c r="A20" t="s">
        <v>62</v>
      </c>
      <c r="B20">
        <v>120.5</v>
      </c>
    </row>
    <row r="21" spans="1:2" x14ac:dyDescent="0.2">
      <c r="A21" t="s">
        <v>63</v>
      </c>
      <c r="B21">
        <v>118.5</v>
      </c>
    </row>
    <row r="22" spans="1:2" x14ac:dyDescent="0.2">
      <c r="A22" t="s">
        <v>64</v>
      </c>
      <c r="B22">
        <v>120</v>
      </c>
    </row>
    <row r="23" spans="1:2" x14ac:dyDescent="0.2">
      <c r="A23" t="s">
        <v>65</v>
      </c>
      <c r="B23">
        <f>AVERAGE(B9:B12)</f>
        <v>1077.875</v>
      </c>
    </row>
    <row r="24" spans="1:2" x14ac:dyDescent="0.2">
      <c r="A24" t="s">
        <v>66</v>
      </c>
      <c r="B24">
        <f>AVERAGE(B13:B18)</f>
        <v>563.16666666666663</v>
      </c>
    </row>
    <row r="25" spans="1:2" x14ac:dyDescent="0.2">
      <c r="A25" t="s">
        <v>67</v>
      </c>
      <c r="B25">
        <f>AVERAGE(B19:B22)</f>
        <v>120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16"/>
  <sheetViews>
    <sheetView workbookViewId="0">
      <selection activeCell="B3" sqref="B3"/>
    </sheetView>
  </sheetViews>
  <sheetFormatPr defaultRowHeight="14.25" x14ac:dyDescent="0.2"/>
  <cols>
    <col min="8" max="8" width="11.5" customWidth="1"/>
  </cols>
  <sheetData>
    <row r="2" spans="1:11" x14ac:dyDescent="0.2">
      <c r="B2" t="s">
        <v>44</v>
      </c>
      <c r="C2" t="s">
        <v>45</v>
      </c>
      <c r="D2" t="s">
        <v>46</v>
      </c>
      <c r="E2" t="s">
        <v>47</v>
      </c>
      <c r="G2" t="s">
        <v>68</v>
      </c>
      <c r="H2">
        <v>116.66666666666667</v>
      </c>
      <c r="J2" t="s">
        <v>74</v>
      </c>
      <c r="K2" t="s">
        <v>75</v>
      </c>
    </row>
    <row r="3" spans="1:11" x14ac:dyDescent="0.2">
      <c r="A3" t="s">
        <v>78</v>
      </c>
      <c r="B3">
        <v>14000</v>
      </c>
      <c r="C3">
        <v>25600</v>
      </c>
      <c r="D3">
        <v>15689</v>
      </c>
      <c r="E3">
        <v>27263</v>
      </c>
      <c r="G3" t="s">
        <v>70</v>
      </c>
      <c r="H3">
        <v>8.7603703703703708</v>
      </c>
      <c r="J3" t="s">
        <v>51</v>
      </c>
      <c r="K3">
        <f>(H5*(1/B3)/(B3*(1/B3+1/C3+1/D3))+H5*(1/C3)/(C3*(1/B3+1/C3+1/D3))+H5*(1/D3)/(D3*(1/B3+1/C3+1/D3)))*H4</f>
        <v>1728.38764565976</v>
      </c>
    </row>
    <row r="4" spans="1:11" x14ac:dyDescent="0.2">
      <c r="G4" t="s">
        <v>72</v>
      </c>
      <c r="H4">
        <v>16.766944444444448</v>
      </c>
      <c r="J4" t="s">
        <v>52</v>
      </c>
      <c r="K4">
        <f>(H5*(1/B3)/(B3*(1/B3+1/C3+1/E3))+H5*(1/C3)/(C3*(1/B3+1/C3+1/E3))+H5*(1/E3)/(E3*(1/B3+1/C3+1/E3)))*H4</f>
        <v>1526.0926217103311</v>
      </c>
    </row>
    <row r="5" spans="1:11" x14ac:dyDescent="0.2">
      <c r="G5" t="s">
        <v>77</v>
      </c>
      <c r="H5">
        <v>1680000</v>
      </c>
      <c r="J5" t="s">
        <v>53</v>
      </c>
      <c r="K5">
        <f>(H5*(1/B3)/(B3*(1/B3+1/D3+1/E3))+H5*(1/D3)/(D3*(1/B3+1/D3+1/E3))+H5*(1/E3)/(E3*(1/B3+1/D3+1/E3)))*H4</f>
        <v>1722.7699569855738</v>
      </c>
    </row>
    <row r="6" spans="1:11" x14ac:dyDescent="0.2">
      <c r="J6" t="s">
        <v>54</v>
      </c>
      <c r="K6">
        <f>(H5*(1/C3)/(C3*(1/C3+1/D3+1/E3))+H5*(1/D3)/(D3*(1/C3+1/D3+1/E3))+H5*(1/E3)/(E3*(1/C3+1/D3+1/E3)))*H4</f>
        <v>1400.319975861026</v>
      </c>
    </row>
    <row r="7" spans="1:11" x14ac:dyDescent="0.2">
      <c r="J7" t="s">
        <v>55</v>
      </c>
      <c r="K7">
        <f>H5*(B3^2+C3^2)/(B3*C3*(B3+C3))*H3</f>
        <v>882.83959736251416</v>
      </c>
    </row>
    <row r="8" spans="1:11" x14ac:dyDescent="0.2">
      <c r="J8" t="s">
        <v>56</v>
      </c>
      <c r="K8">
        <f>H5*(B3^2+D3^2)/(B3*D3*(B3+D3))*H3</f>
        <v>997.87771768791617</v>
      </c>
    </row>
    <row r="9" spans="1:11" x14ac:dyDescent="0.2">
      <c r="J9" t="s">
        <v>57</v>
      </c>
      <c r="K9">
        <f>H5*(B3^2+E3^2)/(B3*E3*(B3+E3))*H3</f>
        <v>877.7286250198465</v>
      </c>
    </row>
    <row r="10" spans="1:11" x14ac:dyDescent="0.2">
      <c r="J10" t="s">
        <v>58</v>
      </c>
      <c r="K10">
        <f>H5*(C3^2+D3^2)/(C3*D3*(C3+D3))*H3</f>
        <v>800.07400819255815</v>
      </c>
    </row>
    <row r="11" spans="1:11" x14ac:dyDescent="0.2">
      <c r="J11" t="s">
        <v>59</v>
      </c>
      <c r="K11">
        <f>H5*(C3^2+E3^2)/(C3*E3*(C3+E3))*H3</f>
        <v>557.91692576615083</v>
      </c>
    </row>
    <row r="12" spans="1:11" x14ac:dyDescent="0.2">
      <c r="J12" t="s">
        <v>60</v>
      </c>
      <c r="K12">
        <f>H5*(D3^2+E3^2)/(D3*E3*(D3+E3))*H3</f>
        <v>792.60778319565088</v>
      </c>
    </row>
    <row r="13" spans="1:11" x14ac:dyDescent="0.2">
      <c r="J13" t="s">
        <v>61</v>
      </c>
      <c r="K13">
        <f>H5/B3</f>
        <v>120</v>
      </c>
    </row>
    <row r="14" spans="1:11" x14ac:dyDescent="0.2">
      <c r="J14" t="s">
        <v>62</v>
      </c>
      <c r="K14">
        <f>H5/C3</f>
        <v>65.625</v>
      </c>
    </row>
    <row r="15" spans="1:11" x14ac:dyDescent="0.2">
      <c r="J15" t="s">
        <v>63</v>
      </c>
      <c r="K15">
        <f>H5/D3</f>
        <v>107.08139460768692</v>
      </c>
    </row>
    <row r="16" spans="1:11" x14ac:dyDescent="0.2">
      <c r="J16" t="s">
        <v>64</v>
      </c>
      <c r="K16">
        <f>H5/E3</f>
        <v>61.621978505667023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5"/>
  <sheetViews>
    <sheetView zoomScale="140" zoomScaleNormal="140" workbookViewId="0">
      <selection activeCell="F3" sqref="F3"/>
    </sheetView>
  </sheetViews>
  <sheetFormatPr defaultRowHeight="14.25" x14ac:dyDescent="0.2"/>
  <sheetData>
    <row r="1" spans="1:6" x14ac:dyDescent="0.2">
      <c r="C1" t="s">
        <v>83</v>
      </c>
      <c r="E1" t="s">
        <v>74</v>
      </c>
      <c r="F1" t="s">
        <v>75</v>
      </c>
    </row>
    <row r="2" spans="1:6" x14ac:dyDescent="0.2">
      <c r="A2" t="s">
        <v>84</v>
      </c>
      <c r="B2">
        <v>9700</v>
      </c>
      <c r="C2">
        <f>-0.3-0.4*(B2/(SUM(B2:B5)))</f>
        <v>-0.40883590462833097</v>
      </c>
      <c r="E2" t="s">
        <v>51</v>
      </c>
      <c r="F2">
        <f>1800+600*(C2+C3+C4)</f>
        <v>1075.2033660589059</v>
      </c>
    </row>
    <row r="3" spans="1:6" x14ac:dyDescent="0.2">
      <c r="A3" t="s">
        <v>85</v>
      </c>
      <c r="B3">
        <v>10300</v>
      </c>
      <c r="C3">
        <f>-0.3-0.4*(B3 /(SUM(B2:B5)))</f>
        <v>-0.4155680224403927</v>
      </c>
      <c r="E3" t="s">
        <v>52</v>
      </c>
      <c r="F3">
        <f>1800+600*(C2+C3+C5)</f>
        <v>1070.1542776998599</v>
      </c>
    </row>
    <row r="4" spans="1:6" x14ac:dyDescent="0.2">
      <c r="A4" t="s">
        <v>86</v>
      </c>
      <c r="B4">
        <v>7450</v>
      </c>
      <c r="C4">
        <f>-0.3-0.4*(B4/(SUM(B2:B5)))</f>
        <v>-0.38359046283309955</v>
      </c>
      <c r="E4" t="s">
        <v>53</v>
      </c>
      <c r="F4">
        <f>1800+600*(C2+C4+C5)</f>
        <v>1089.3408134642359</v>
      </c>
    </row>
    <row r="5" spans="1:6" x14ac:dyDescent="0.2">
      <c r="A5" t="s">
        <v>87</v>
      </c>
      <c r="B5">
        <v>8200</v>
      </c>
      <c r="C5">
        <f>-0.3-0.4*(B5/(SUM(B2:B5)))</f>
        <v>-0.39200561009817669</v>
      </c>
      <c r="E5" t="s">
        <v>54</v>
      </c>
      <c r="F5">
        <f>1800+600*(C3+C4+C5)</f>
        <v>1085.3015427769988</v>
      </c>
    </row>
    <row r="6" spans="1:6" x14ac:dyDescent="0.2">
      <c r="E6" t="s">
        <v>55</v>
      </c>
      <c r="F6">
        <f>(800+400*(C2+C3))/6*7</f>
        <v>548.61150070126223</v>
      </c>
    </row>
    <row r="7" spans="1:6" x14ac:dyDescent="0.2">
      <c r="E7" t="s">
        <v>56</v>
      </c>
      <c r="F7">
        <f>(800+400*(C2+C4))/6*7</f>
        <v>563.53436185133239</v>
      </c>
    </row>
    <row r="8" spans="1:6" x14ac:dyDescent="0.2">
      <c r="E8" t="s">
        <v>57</v>
      </c>
      <c r="F8">
        <f>(800+400*(C2+C3))/6*7</f>
        <v>548.61150070126223</v>
      </c>
    </row>
    <row r="9" spans="1:6" x14ac:dyDescent="0.2">
      <c r="E9" t="s">
        <v>58</v>
      </c>
      <c r="F9">
        <f>(800+400*(C2+C4))/6*7</f>
        <v>563.53436185133239</v>
      </c>
    </row>
    <row r="10" spans="1:6" x14ac:dyDescent="0.2">
      <c r="E10" t="s">
        <v>59</v>
      </c>
      <c r="F10">
        <f>(800+400*(C4+C3))/6*7</f>
        <v>560.39270687237035</v>
      </c>
    </row>
    <row r="11" spans="1:6" x14ac:dyDescent="0.2">
      <c r="E11" t="s">
        <v>60</v>
      </c>
      <c r="F11">
        <f>(800+400*(C4+C5))/6*7</f>
        <v>571.38849929873777</v>
      </c>
    </row>
    <row r="12" spans="1:6" x14ac:dyDescent="0.2">
      <c r="E12" t="s">
        <v>61</v>
      </c>
      <c r="F12">
        <f>200+200*C2</f>
        <v>118.2328190743338</v>
      </c>
    </row>
    <row r="13" spans="1:6" x14ac:dyDescent="0.2">
      <c r="E13" t="s">
        <v>62</v>
      </c>
      <c r="F13">
        <f>200+200*C3</f>
        <v>116.88639551192146</v>
      </c>
    </row>
    <row r="14" spans="1:6" x14ac:dyDescent="0.2">
      <c r="E14" t="s">
        <v>63</v>
      </c>
      <c r="F14">
        <f>200+200*C4</f>
        <v>123.28190743338008</v>
      </c>
    </row>
    <row r="15" spans="1:6" x14ac:dyDescent="0.2">
      <c r="E15" t="s">
        <v>91</v>
      </c>
      <c r="F15">
        <f>200+200*C5</f>
        <v>121.59887798036466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输入</vt:lpstr>
      <vt:lpstr>计算（不要触碰）</vt:lpstr>
      <vt:lpstr>匹配并输出</vt:lpstr>
      <vt:lpstr>记录器财年1</vt:lpstr>
      <vt:lpstr>记录器财年2</vt:lpstr>
      <vt:lpstr>记录器财年3</vt:lpstr>
      <vt:lpstr>记录器财年4</vt:lpstr>
      <vt:lpstr>实施预测（请勿删除）</vt:lpstr>
      <vt:lpstr>预测系统错</vt:lpstr>
      <vt:lpstr>真的预测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2016-11-12T04:46:35Z</dcterms:modified>
</cp:coreProperties>
</file>